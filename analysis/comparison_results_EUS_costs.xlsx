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<sst xmlns="http://schemas.openxmlformats.org/spreadsheetml/2006/main" count="40" uniqueCount="40">
  <si>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>EUS</t>
  </si>
  <si>
    <t>ins20</t>
  </si>
  <si>
    <t>noins</t>
  </si>
  <si>
    <t xml:space="preserve">noins M_theta=75</t>
  </si>
  <si>
    <t>ins80</t>
  </si>
  <si>
    <t xml:space="preserve">Zwickl Bernhard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</si>
  <si>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</si>
  <si>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</si>
  <si>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</si>
  <si>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</si>
  <si>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</si>
  <si>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</si>
  <si>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</si>
  <si>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</si>
  <si>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</si>
  <si>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</si>
  <si>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</si>
  <si>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</si>
  <si>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</si>
  <si>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</si>
  <si>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</si>
  <si>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</si>
  <si>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</si>
  <si>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</si>
  <si>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</si>
  <si>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Onshore pipelines CAPEX</t>
  </si>
  <si>
    <t xml:space="preserve">Onshore pipelines OPEX</t>
  </si>
  <si>
    <t xml:space="preserve">Onshore pipelines insulation</t>
  </si>
  <si>
    <t xml:space="preserve">Offshore pipelines CAPEX</t>
  </si>
  <si>
    <t xml:space="preserve">Offshore pipelines OPEX</t>
  </si>
  <si>
    <t xml:space="preserve">Initial compression CAPEX</t>
  </si>
  <si>
    <t xml:space="preserve">Initial compression OPEX</t>
  </si>
  <si>
    <t xml:space="preserve">Initial compression Electricity</t>
  </si>
  <si>
    <t xml:space="preserve">Boosting stations CAPEX</t>
  </si>
  <si>
    <t xml:space="preserve">Boosting stations OPEX</t>
  </si>
  <si>
    <t xml:space="preserve">Boosting stations Electricity</t>
  </si>
  <si>
    <t xml:space="preserve">Injection to sinks</t>
  </si>
  <si>
    <t xml:space="preserve">Gross cost</t>
  </si>
  <si>
    <t xml:space="preserve">CO2 sales revenues</t>
  </si>
  <si>
    <t xml:space="preserve">Net cost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</si>
</sst>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 applyAlignment="1">
      <alignment horizontal="center"/>
    </xf>
    <xf fontId="2" fillId="0" borderId="1" numFmtId="0" xfId="0" applyFont="1" applyBorder="1" applyAlignment="1">
      <alignment horizontal="center" vertical="center"/>
    </xf>
    <xf fontId="0" fillId="0" borderId="0" numFmtId="0" xfId="0">
      <protection hidden="0" locked="1"/>
    </xf>
    <xf fontId="0" fillId="0" borderId="0" numFmtId="164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36.921875"/>
    <col bestFit="1" min="2" max="2" width="17.8515625"/>
    <col bestFit="1" min="3" max="3" width="12.57421875"/>
    <col bestFit="1" min="4" max="4" width="16.421875"/>
    <col bestFit="1" min="5" max="5" width="12.50390625"/>
    <col bestFit="1" min="6" max="6" width="14.28125"/>
  </cols>
  <sheetData>
    <row r="1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4.25">
      <c r="A2" s="2" t="s">
        <v>6</v>
      </c>
      <c r="B2" s="2" t="s">
        <v>7</v>
      </c>
      <c r="C2" s="2" t="s">
        <v>7</v>
      </c>
      <c r="D2" s="2" t="s">
        <v>7</v>
      </c>
      <c r="E2" s="2" t="s">
        <v>7</v>
      </c>
    </row>
    <row r="3" ht="14.25">
      <c r="A3" s="3" t="s">
        <v>8</v>
      </c>
      <c r="B3" s="3">
        <v>69597.543222625289</v>
      </c>
      <c r="C3" s="3">
        <v>69597.543222625303</v>
      </c>
      <c r="D3" s="3">
        <v>69392.390164436889</v>
      </c>
      <c r="E3" s="3">
        <v>69597.54322262542</v>
      </c>
    </row>
    <row r="4" ht="14.25">
      <c r="A4" s="3" t="s">
        <v>9</v>
      </c>
      <c r="B4" s="3">
        <v>4060.9494799999989</v>
      </c>
      <c r="C4" s="3">
        <v>4060.9494800000002</v>
      </c>
      <c r="D4" s="3">
        <v>4060.9494799999861</v>
      </c>
      <c r="E4" s="3">
        <v>4060.9494800000002</v>
      </c>
    </row>
    <row r="5" ht="14.25">
      <c r="A5" s="3" t="s">
        <v>10</v>
      </c>
      <c r="B5" s="3">
        <v>3172.428797102089</v>
      </c>
      <c r="C5" s="3">
        <v>2822.479555469386</v>
      </c>
      <c r="D5" s="3">
        <v>2754.4067292287959</v>
      </c>
      <c r="E5" s="3">
        <v>3585.656305035935</v>
      </c>
    </row>
    <row r="6" ht="14.25">
      <c r="A6" s="3" t="s">
        <v>11</v>
      </c>
      <c r="B6" s="3">
        <v>165.10938333999991</v>
      </c>
      <c r="C6" s="3">
        <v>98.422962059999989</v>
      </c>
      <c r="D6" s="3">
        <v>148.97144549999999</v>
      </c>
      <c r="E6" s="3">
        <v>148.9714455000001</v>
      </c>
    </row>
    <row r="7" ht="14.25">
      <c r="A7" s="3" t="s">
        <v>12</v>
      </c>
      <c r="B7" s="3">
        <v>23586.962899999999</v>
      </c>
      <c r="C7" s="3">
        <v>23586.962899999999</v>
      </c>
      <c r="D7" s="3">
        <v>23723.679469999999</v>
      </c>
      <c r="E7" s="3">
        <v>23774.429339999999</v>
      </c>
    </row>
    <row r="8" ht="14.25">
      <c r="A8" s="3" t="s">
        <v>13</v>
      </c>
      <c r="B8" s="3">
        <v>756.61017611282034</v>
      </c>
      <c r="C8" s="3">
        <v>940.61582583106713</v>
      </c>
      <c r="D8" s="3">
        <v>960.25576080048108</v>
      </c>
      <c r="E8" s="3">
        <v>1143.9975968240331</v>
      </c>
    </row>
    <row r="9" ht="14.25">
      <c r="A9" s="3" t="s">
        <v>14</v>
      </c>
      <c r="B9" s="3">
        <v>959.55380296238513</v>
      </c>
      <c r="C9" s="3">
        <v>861.29550492504598</v>
      </c>
      <c r="D9" s="3">
        <v>776.20692015063798</v>
      </c>
      <c r="E9" s="3">
        <v>974.80145458214008</v>
      </c>
    </row>
    <row r="10" ht="14.25">
      <c r="A10" s="3" t="s">
        <v>15</v>
      </c>
      <c r="B10" s="3">
        <v>149.2337224143092</v>
      </c>
      <c r="C10" s="3">
        <v>0</v>
      </c>
      <c r="D10" s="3">
        <v>0</v>
      </c>
      <c r="E10" s="3">
        <v>307.37163604812002</v>
      </c>
    </row>
    <row r="11" ht="14.25">
      <c r="A11" s="3" t="s">
        <v>16</v>
      </c>
      <c r="B11" s="3">
        <v>55.639340949999998</v>
      </c>
      <c r="C11" s="3">
        <v>35.417730949999999</v>
      </c>
      <c r="D11" s="3">
        <v>46.970104149999997</v>
      </c>
      <c r="E11" s="3">
        <v>46.970104149999997</v>
      </c>
    </row>
    <row r="12" ht="14.25">
      <c r="A12" s="3" t="s">
        <v>17</v>
      </c>
      <c r="B12" s="3">
        <v>1585.91461</v>
      </c>
      <c r="C12" s="3">
        <v>1585.91461</v>
      </c>
      <c r="D12" s="3">
        <v>1601.1893399999999</v>
      </c>
      <c r="E12" s="3">
        <v>1606.8459499999999</v>
      </c>
    </row>
    <row r="13" ht="14.25">
      <c r="A13" s="3" t="s">
        <v>18</v>
      </c>
      <c r="B13" s="3">
        <v>36.562164955427981</v>
      </c>
      <c r="C13" s="3">
        <v>46.212072067103257</v>
      </c>
      <c r="D13" s="3">
        <v>48.290297872142027</v>
      </c>
      <c r="E13" s="3">
        <v>59.589611248039077</v>
      </c>
    </row>
    <row r="14" ht="14.25">
      <c r="A14" s="3" t="s">
        <v>19</v>
      </c>
      <c r="B14" s="3">
        <v>10339.488788988891</v>
      </c>
      <c r="C14" s="3">
        <v>10339.488788988891</v>
      </c>
      <c r="D14" s="3">
        <v>10309.01481623552</v>
      </c>
      <c r="E14" s="3">
        <v>10339.488788988911</v>
      </c>
    </row>
    <row r="15" ht="14.25">
      <c r="A15" s="3" t="s">
        <v>20</v>
      </c>
      <c r="B15" s="3">
        <v>274.29023135991338</v>
      </c>
      <c r="C15" s="3">
        <v>288.30227135991117</v>
      </c>
      <c r="D15" s="3">
        <v>341.73291724526467</v>
      </c>
      <c r="E15" s="3">
        <v>430.23048014211258</v>
      </c>
    </row>
    <row r="16" ht="14.25">
      <c r="A16" s="3" t="s">
        <v>21</v>
      </c>
      <c r="B16" s="3">
        <v>0</v>
      </c>
      <c r="C16" s="3">
        <v>0</v>
      </c>
      <c r="D16" s="3">
        <v>0</v>
      </c>
      <c r="E16" s="3">
        <v>0</v>
      </c>
    </row>
    <row r="17" ht="14.25">
      <c r="A17" s="3" t="s">
        <v>22</v>
      </c>
      <c r="B17" s="3">
        <v>92623.050287719874</v>
      </c>
      <c r="C17" s="3">
        <v>92623.050287719947</v>
      </c>
      <c r="D17" s="3">
        <v>93090.997181584316</v>
      </c>
      <c r="E17" s="3">
        <v>92623.05028772002</v>
      </c>
    </row>
    <row r="18" ht="14.25">
      <c r="A18" s="3" t="s">
        <v>23</v>
      </c>
      <c r="B18" s="3">
        <v>-30343.48836729394</v>
      </c>
      <c r="C18" s="3">
        <v>-30343.488367293889</v>
      </c>
      <c r="D18" s="3">
        <v>-30063.153022915041</v>
      </c>
      <c r="E18" s="3">
        <v>-30343.488367293881</v>
      </c>
    </row>
    <row r="19" ht="14.25">
      <c r="A19" s="3" t="s">
        <v>24</v>
      </c>
      <c r="B19" s="3">
        <v>176870.61481882271</v>
      </c>
      <c r="C19" s="3">
        <v>176543.16684470279</v>
      </c>
      <c r="D19" s="3">
        <v>177191.90160428901</v>
      </c>
      <c r="E19" s="3">
        <v>178049.0356995227</v>
      </c>
    </row>
    <row r="23" ht="14.25">
      <c r="A23" t="s">
        <v>25</v>
      </c>
      <c r="B23" s="4">
        <f>B5/1000</f>
        <v>3.1724287971020888</v>
      </c>
      <c r="C23" s="4">
        <f>C5/1000</f>
        <v>2.822479555469386</v>
      </c>
      <c r="D23" s="4">
        <f>D5/1000</f>
        <v>2.7544067292287959</v>
      </c>
      <c r="E23" s="4">
        <f>E5/1000</f>
        <v>3.5856563050359349</v>
      </c>
      <c r="F23">
        <v>2.1499999999999999</v>
      </c>
    </row>
    <row r="24" ht="14.25">
      <c r="A24" t="s">
        <v>26</v>
      </c>
      <c r="B24" s="4">
        <f>B9/1000</f>
        <v>0.95955380296238513</v>
      </c>
      <c r="C24" s="4">
        <f>C9/1000</f>
        <v>0.86129550492504603</v>
      </c>
      <c r="D24" s="4">
        <f>D9/1000</f>
        <v>0.77620692015063797</v>
      </c>
      <c r="E24" s="4">
        <f>E9/1000</f>
        <v>0.97480145458214007</v>
      </c>
      <c r="F24">
        <v>0.57999999999999996</v>
      </c>
    </row>
    <row r="25" ht="14.25">
      <c r="A25" t="s">
        <v>27</v>
      </c>
      <c r="B25" s="4">
        <f>B10/1000</f>
        <v>0.14923372241430921</v>
      </c>
      <c r="C25" s="4">
        <f>C10/1000</f>
        <v>0</v>
      </c>
      <c r="D25" s="4">
        <f>D10/1000</f>
        <v>0</v>
      </c>
      <c r="E25" s="4">
        <f>E10/1000</f>
        <v>0.30737163604812001</v>
      </c>
      <c r="F25">
        <v>0</v>
      </c>
    </row>
    <row r="26" ht="14.25">
      <c r="A26" t="s">
        <v>28</v>
      </c>
      <c r="B26" s="4">
        <f>B6/1000</f>
        <v>0.16510938333999992</v>
      </c>
      <c r="C26" s="4">
        <f>C6/1000</f>
        <v>9.8422962059999994e-02</v>
      </c>
      <c r="D26" s="4">
        <f>D6/1000</f>
        <v>0.14897144549999999</v>
      </c>
      <c r="E26" s="4">
        <f>E6/1000</f>
        <v>0.1489714455000001</v>
      </c>
      <c r="F26">
        <v>0.14000000000000001</v>
      </c>
    </row>
    <row r="27" ht="14.25">
      <c r="A27" t="s">
        <v>29</v>
      </c>
      <c r="B27" s="4">
        <f>B11/1000</f>
        <v>5.5639340949999998e-02</v>
      </c>
      <c r="C27" s="4">
        <f>C11/1000</f>
        <v>3.5417730949999997e-02</v>
      </c>
      <c r="D27" s="4">
        <f>D11/1000</f>
        <v>4.6970104149999997e-02</v>
      </c>
      <c r="E27" s="4">
        <f>E11/1000</f>
        <v>4.6970104149999997e-02</v>
      </c>
      <c r="F27">
        <v>5.0000000000000003e-02</v>
      </c>
    </row>
    <row r="28" ht="14.25">
      <c r="A28" t="s">
        <v>30</v>
      </c>
      <c r="B28" s="4">
        <f>B7/1000</f>
        <v>23.5869629</v>
      </c>
      <c r="C28" s="4">
        <f>C7/1000</f>
        <v>23.5869629</v>
      </c>
      <c r="D28" s="4">
        <f>D7/1000</f>
        <v>23.72367947</v>
      </c>
      <c r="E28" s="4">
        <f>E7/1000</f>
        <v>23.774429339999998</v>
      </c>
      <c r="F28">
        <v>23.57</v>
      </c>
    </row>
    <row r="29" ht="14.25">
      <c r="A29" t="s">
        <v>31</v>
      </c>
      <c r="B29" s="4">
        <f>B12/1000</f>
        <v>1.5859146100000001</v>
      </c>
      <c r="C29" s="4">
        <f>C12/1000</f>
        <v>1.5859146100000001</v>
      </c>
      <c r="D29" s="4">
        <f>D12/1000</f>
        <v>1.6011893399999999</v>
      </c>
      <c r="E29" s="4">
        <f>E12/1000</f>
        <v>1.6068459499999999</v>
      </c>
      <c r="F29">
        <v>1.5800000000000001</v>
      </c>
    </row>
    <row r="30" ht="14.25">
      <c r="A30" t="s">
        <v>32</v>
      </c>
      <c r="B30" s="4">
        <f>B14/1000</f>
        <v>10.339488788988891</v>
      </c>
      <c r="C30" s="4">
        <f>C14/1000</f>
        <v>10.339488788988891</v>
      </c>
      <c r="D30" s="4">
        <f>D14/1000</f>
        <v>10.30901481623552</v>
      </c>
      <c r="E30" s="4">
        <f>E14/1000</f>
        <v>10.339488788988911</v>
      </c>
      <c r="F30">
        <v>10.57</v>
      </c>
    </row>
    <row r="31" ht="14.25">
      <c r="A31" t="s">
        <v>33</v>
      </c>
      <c r="B31" s="4">
        <f>B8/1000</f>
        <v>0.75661017611282033</v>
      </c>
      <c r="C31" s="4">
        <f>C8/1000</f>
        <v>0.94061582583106718</v>
      </c>
      <c r="D31" s="4">
        <f>D8/1000</f>
        <v>0.96025576080048114</v>
      </c>
      <c r="E31" s="4">
        <f>E8/1000</f>
        <v>1.143997596824033</v>
      </c>
      <c r="F31">
        <v>0.62</v>
      </c>
    </row>
    <row r="32" ht="14.25">
      <c r="A32" t="s">
        <v>34</v>
      </c>
      <c r="B32" s="4">
        <f>B13/1000</f>
        <v>3.6562164955427981e-02</v>
      </c>
      <c r="C32" s="4">
        <f>C13/1000</f>
        <v>4.621207206710326e-02</v>
      </c>
      <c r="D32" s="4">
        <f>D13/1000</f>
        <v>4.8290297872142028e-02</v>
      </c>
      <c r="E32" s="4">
        <f>E13/1000</f>
        <v>5.9589611248039076e-02</v>
      </c>
      <c r="F32">
        <v>2.9999999999999999e-02</v>
      </c>
    </row>
    <row r="33" ht="14.25">
      <c r="A33" t="s">
        <v>35</v>
      </c>
      <c r="B33" s="4">
        <f>B15/1000</f>
        <v>0.27429023135991337</v>
      </c>
      <c r="C33" s="4">
        <f>C15/1000</f>
        <v>0.28830227135991116</v>
      </c>
      <c r="D33" s="4">
        <f>D15/1000</f>
        <v>0.34173291724526467</v>
      </c>
      <c r="E33" s="4">
        <f>E15/1000</f>
        <v>0.43023048014211257</v>
      </c>
      <c r="F33">
        <v>0.22</v>
      </c>
    </row>
    <row r="34" ht="14.25">
      <c r="A34" t="s">
        <v>36</v>
      </c>
      <c r="B34" s="4">
        <f>B4/1000</f>
        <v>4.0609494799999988</v>
      </c>
      <c r="C34" s="4">
        <f>C4/1000</f>
        <v>4.0609494800000006</v>
      </c>
      <c r="D34" s="4">
        <f>D4/1000</f>
        <v>4.0609494799999863</v>
      </c>
      <c r="E34" s="4">
        <f>E4/1000</f>
        <v>4.0609494800000006</v>
      </c>
      <c r="F34">
        <v>4.1799999999999997</v>
      </c>
    </row>
    <row r="35" ht="14.25">
      <c r="B35" s="4"/>
      <c r="C35" s="4"/>
      <c r="D35" s="4"/>
      <c r="E35" s="4"/>
    </row>
    <row r="36" ht="14.25">
      <c r="A36" t="s">
        <v>37</v>
      </c>
      <c r="B36" s="4">
        <f>SUM(B23:B34)</f>
        <v>45.142743398185836</v>
      </c>
      <c r="C36" s="4">
        <f>SUM(C23:C34)</f>
        <v>44.666061701651401</v>
      </c>
      <c r="D36" s="4">
        <f>SUM(D23:D34)</f>
        <v>44.771667281182829</v>
      </c>
      <c r="E36" s="4">
        <f>SUM(E23:E34)</f>
        <v>46.479302192519285</v>
      </c>
      <c r="F36" s="4">
        <f>SUM(F23:F34)</f>
        <v>43.689999999999998</v>
      </c>
    </row>
    <row r="37" ht="14.25">
      <c r="A37" t="s">
        <v>38</v>
      </c>
      <c r="B37" s="4">
        <f>B18/1000</f>
        <v>-30.34348836729394</v>
      </c>
      <c r="C37" s="4">
        <f>C18/1000</f>
        <v>-30.34348836729389</v>
      </c>
      <c r="D37" s="4">
        <f>D18/1000</f>
        <v>-30.063153022915042</v>
      </c>
      <c r="E37" s="4">
        <f>E18/1000</f>
        <v>-30.34348836729388</v>
      </c>
      <c r="F37" s="4">
        <v>-30.59</v>
      </c>
    </row>
    <row r="38" ht="14.25">
      <c r="B38" s="4"/>
      <c r="C38" s="4"/>
      <c r="D38" s="4"/>
      <c r="E38" s="4"/>
      <c r="F38" s="4"/>
    </row>
    <row r="39" ht="14.25">
      <c r="A39" t="s">
        <v>39</v>
      </c>
      <c r="B39" s="4">
        <f>SUM(B36:B37)</f>
        <v>14.799255030891896</v>
      </c>
      <c r="C39" s="4">
        <f>SUM(C36:C37)</f>
        <v>14.322573334357511</v>
      </c>
      <c r="D39" s="4">
        <f>SUM(D36:D37)</f>
        <v>14.708514258267787</v>
      </c>
      <c r="E39" s="4">
        <f>SUM(E36:E37)</f>
        <v>16.135813825225405</v>
      </c>
      <c r="F39" s="4">
        <f>SUM(F36:F37)</f>
        <v>13.099999999999998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2026-08-11T10:18:04Z</dcterms:modified>
</cp:coreProperties>
</file>