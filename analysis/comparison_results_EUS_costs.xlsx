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<sst xmlns="http://schemas.openxmlformats.org/spreadsheetml/2006/main" count="47" uniqueCount="47">
  <si>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EUS</t>
  </si>
  <si>
    <t xml:space="preserve">Zwickl Bernhard</t>
  </si>
  <si>
    <t>noins</t>
  </si>
  <si>
    <t>ins20</t>
  </si>
  <si>
    <t>ins40</t>
  </si>
  <si>
    <t>ins60</t>
  </si>
  <si>
    <t>ins80</t>
  </si>
  <si>
    <t xml:space="preserve">noins M_theta=75</t>
  </si>
  <si>
    <t xml:space="preserve">ins20 M_theta=75</t>
  </si>
  <si>
    <t xml:space="preserve">ins80 M_theta=75</t>
  </si>
  <si>
    <t xml:space="preserve">ins20_ 12_08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</si>
  <si>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</si>
  <si>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</si>
  <si>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</si>
  <si>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</si>
  <si>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</si>
  <si>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</si>
  <si>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</si>
  <si>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</si>
  <si>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</si>
  <si>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</si>
  <si>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</si>
  <si>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</si>
  <si>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</si>
  <si>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</si>
  <si>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</si>
  <si>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</si>
  <si>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</si>
  <si>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</si>
  <si>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</si>
  <si>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</si>
  <si>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 xml:space="preserve">Onshore pipeline insulation CAPEX</t>
  </si>
  <si>
    <t xml:space="preserve">Onshore pipeline insulation OPEX</t>
  </si>
  <si>
    <t xml:space="preserve">Onshore pipelines CAPEX</t>
  </si>
  <si>
    <t xml:space="preserve">Onshore pipelines OPEX</t>
  </si>
  <si>
    <t xml:space="preserve">Offshore pipelines CAPEX</t>
  </si>
  <si>
    <t xml:space="preserve">Offshore pipelines OPEX</t>
  </si>
  <si>
    <t xml:space="preserve">Initial compression CAPEX</t>
  </si>
  <si>
    <t xml:space="preserve">Initial compression OPEX</t>
  </si>
  <si>
    <t xml:space="preserve">Initial compression Electricity</t>
  </si>
  <si>
    <t xml:space="preserve">Boosting stations CAPEX</t>
  </si>
  <si>
    <t xml:space="preserve">Boosting stations OPEX</t>
  </si>
  <si>
    <t xml:space="preserve">Boosting stations Electricity</t>
  </si>
  <si>
    <t xml:space="preserve">Injection to sinks</t>
  </si>
  <si>
    <t xml:space="preserve">Gross cost</t>
  </si>
  <si>
    <t xml:space="preserve">CO2 sales revenues</t>
  </si>
  <si>
    <t xml:space="preserve">Net cost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</si>
</sst>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/>
    <xf fontId="2" fillId="0" borderId="1" numFmtId="0" xfId="0" applyFont="1" applyBorder="1" applyAlignment="1">
      <alignment horizontal="center" vertical="center"/>
    </xf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  <xf fontId="0" fillId="0" borderId="0" numFmtId="164" xfId="0" applyNumberFormat="1"/>
    <xf fontId="0" fillId="0" borderId="0" numFmtId="164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36.921875"/>
    <col bestFit="1" customWidth="1" min="2" max="2" width="14.79296875"/>
    <col customWidth="1" min="3" max="3" width="3.28125"/>
    <col bestFit="1" customWidth="1" min="4" max="4" width="12.04296875"/>
    <col bestFit="1" min="5" max="8" width="12.04296875"/>
    <col bestFit="1" customWidth="1" min="9" max="9" width="12.04296875"/>
    <col bestFit="1" min="10" max="10" width="16.421875"/>
    <col bestFit="1" min="11" max="12" width="16.22265625"/>
    <col min="13" max="13" width="12.50390625"/>
    <col bestFit="1" min="14" max="14" width="14.28125"/>
  </cols>
  <sheetData>
    <row r="1" ht="14.25">
      <c r="A1" s="1" t="s">
        <v>0</v>
      </c>
      <c r="B1" s="2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" t="s">
        <v>7</v>
      </c>
      <c r="K1" s="1" t="s">
        <v>8</v>
      </c>
      <c r="L1" s="1" t="s">
        <v>9</v>
      </c>
      <c r="N1" s="2" t="s">
        <v>10</v>
      </c>
    </row>
    <row r="2" ht="14.25">
      <c r="A2" s="3" t="s">
        <v>11</v>
      </c>
      <c r="B2" t="s">
        <v>12</v>
      </c>
      <c r="C2" s="3"/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J2" s="3" t="s">
        <v>12</v>
      </c>
      <c r="K2" s="3" t="s">
        <v>12</v>
      </c>
      <c r="L2" s="3" t="s">
        <v>12</v>
      </c>
      <c r="N2" s="3" t="s">
        <v>12</v>
      </c>
    </row>
    <row r="3" ht="14.25">
      <c r="A3" s="4" t="s">
        <v>13</v>
      </c>
      <c r="C3" s="4"/>
      <c r="D3" s="4">
        <v>69597.543222625303</v>
      </c>
      <c r="E3" s="4">
        <v>69597.543222625289</v>
      </c>
      <c r="F3" s="4">
        <v>69634.329084374185</v>
      </c>
      <c r="G3" s="4">
        <v>69634.329084374462</v>
      </c>
      <c r="H3" s="4">
        <v>69597.54322262542</v>
      </c>
      <c r="J3" s="4">
        <v>69392.390164436889</v>
      </c>
      <c r="K3" s="4">
        <v>69593.258801737524</v>
      </c>
      <c r="L3" s="4">
        <v>69391.693142625372</v>
      </c>
      <c r="N3" s="4">
        <v>69593.258801737524</v>
      </c>
    </row>
    <row r="4" ht="14.25">
      <c r="A4" s="4" t="s">
        <v>14</v>
      </c>
      <c r="C4" s="4"/>
      <c r="D4" s="4">
        <v>4060.9494800000002</v>
      </c>
      <c r="E4" s="4">
        <v>4060.9494799999989</v>
      </c>
      <c r="F4" s="4">
        <v>4060.9494799999779</v>
      </c>
      <c r="G4" s="4">
        <v>4060.9494800000039</v>
      </c>
      <c r="H4" s="4">
        <v>4060.9494800000002</v>
      </c>
      <c r="J4" s="4">
        <v>4060.9494799999861</v>
      </c>
      <c r="K4" s="4">
        <v>4060.9494800000139</v>
      </c>
      <c r="L4" s="4">
        <v>4060.9494799999961</v>
      </c>
      <c r="N4" s="4">
        <v>4060.9494800000139</v>
      </c>
    </row>
    <row r="5" ht="14.25">
      <c r="A5" s="4" t="s">
        <v>15</v>
      </c>
      <c r="C5" s="4"/>
      <c r="D5" s="4">
        <v>2822.479555469386</v>
      </c>
      <c r="E5" s="4">
        <v>3172.428797102089</v>
      </c>
      <c r="F5" s="4">
        <v>3210.316269888182</v>
      </c>
      <c r="G5" s="4">
        <v>3570.539649473827</v>
      </c>
      <c r="H5" s="4">
        <v>3585.656305035935</v>
      </c>
      <c r="J5" s="4">
        <v>2754.4067292287959</v>
      </c>
      <c r="K5" s="4">
        <v>2520.9419442099361</v>
      </c>
      <c r="L5" s="4">
        <v>2728.6918029066019</v>
      </c>
      <c r="N5" s="4">
        <v>2520.9419442099361</v>
      </c>
    </row>
    <row r="6" ht="14.25">
      <c r="A6" s="4" t="s">
        <v>16</v>
      </c>
      <c r="C6" s="4"/>
      <c r="D6" s="4">
        <v>0</v>
      </c>
      <c r="E6" s="4">
        <v>491.17766999999998</v>
      </c>
      <c r="F6" s="4">
        <v>809.79908999999998</v>
      </c>
      <c r="G6" s="4">
        <v>1105.9221</v>
      </c>
      <c r="H6" s="4">
        <v>1152.8978</v>
      </c>
      <c r="J6" s="4">
        <v>0</v>
      </c>
      <c r="K6" s="4">
        <v>185.83815000000001</v>
      </c>
      <c r="L6">
        <v>4.4829999999999997</v>
      </c>
      <c r="N6" s="4">
        <v>185.83815000000001</v>
      </c>
    </row>
    <row r="7" ht="14.25">
      <c r="A7" s="4" t="s">
        <v>17</v>
      </c>
      <c r="C7" s="4"/>
      <c r="D7" s="4">
        <v>98.422962059999989</v>
      </c>
      <c r="E7" s="4">
        <v>165.10938333999991</v>
      </c>
      <c r="F7" s="4">
        <v>148.9714454999999</v>
      </c>
      <c r="G7" s="4">
        <v>148.97144549999999</v>
      </c>
      <c r="H7" s="4">
        <v>148.9714455000001</v>
      </c>
      <c r="J7" s="4">
        <v>148.97144549999999</v>
      </c>
      <c r="K7" s="4">
        <v>148.97144549999999</v>
      </c>
      <c r="L7" s="4">
        <v>165.10938333999891</v>
      </c>
      <c r="N7" s="4">
        <v>148.97144549999999</v>
      </c>
    </row>
    <row r="8" ht="14.25">
      <c r="A8" s="4" t="s">
        <v>18</v>
      </c>
      <c r="C8" s="4"/>
      <c r="D8" s="4">
        <v>23586.962899999999</v>
      </c>
      <c r="E8" s="4">
        <v>23586.962899999999</v>
      </c>
      <c r="F8" s="4">
        <v>24049.61923</v>
      </c>
      <c r="G8" s="4">
        <v>24054.558690000002</v>
      </c>
      <c r="H8" s="4">
        <v>23774.429339999999</v>
      </c>
      <c r="J8" s="4">
        <v>23723.679469999999</v>
      </c>
      <c r="K8" s="4">
        <v>23819.947670000001</v>
      </c>
      <c r="L8" s="4">
        <v>23679.195970000001</v>
      </c>
      <c r="N8" s="4">
        <v>23819.947670000001</v>
      </c>
    </row>
    <row r="9" ht="14.25">
      <c r="A9" s="4" t="s">
        <v>19</v>
      </c>
      <c r="C9" s="4"/>
      <c r="D9" s="4">
        <v>940.61582583106713</v>
      </c>
      <c r="E9" s="4">
        <v>756.61017611282034</v>
      </c>
      <c r="F9" s="4">
        <v>650.00889925084607</v>
      </c>
      <c r="G9" s="4">
        <v>730.0148860209132</v>
      </c>
      <c r="H9" s="4">
        <v>1143.9975968240331</v>
      </c>
      <c r="J9" s="4">
        <v>960.25576080048108</v>
      </c>
      <c r="K9" s="4">
        <v>638.30587591942526</v>
      </c>
      <c r="L9" s="4">
        <v>804.70709756845656</v>
      </c>
      <c r="N9" s="4">
        <v>638.30587591942526</v>
      </c>
    </row>
    <row r="10" ht="14.25">
      <c r="A10" s="4" t="s">
        <v>20</v>
      </c>
      <c r="C10" s="4"/>
      <c r="D10" s="4">
        <v>861.29550492504598</v>
      </c>
      <c r="E10" s="4">
        <v>959.55380296238513</v>
      </c>
      <c r="F10" s="4">
        <v>862.45703766490078</v>
      </c>
      <c r="G10" s="4">
        <v>967.71333735433677</v>
      </c>
      <c r="H10" s="4">
        <v>974.80145458214008</v>
      </c>
      <c r="J10" s="4">
        <v>776.20692015063798</v>
      </c>
      <c r="K10" s="4">
        <v>706.58427243303038</v>
      </c>
      <c r="L10" s="4">
        <v>800.2757575545179</v>
      </c>
      <c r="N10" s="4">
        <v>706.58427243303038</v>
      </c>
    </row>
    <row r="11" ht="14.25">
      <c r="A11" s="5" t="s">
        <v>21</v>
      </c>
      <c r="C11" s="4"/>
      <c r="D11" s="4">
        <v>0</v>
      </c>
      <c r="E11" s="4">
        <v>149.2337224143092</v>
      </c>
      <c r="F11" s="4">
        <v>212.57460395924869</v>
      </c>
      <c r="G11" s="4">
        <v>309.17249442743878</v>
      </c>
      <c r="H11" s="4">
        <v>307.37163604812002</v>
      </c>
      <c r="J11" s="4">
        <v>0</v>
      </c>
      <c r="K11" s="4">
        <v>54.851794055020378</v>
      </c>
      <c r="L11" s="4">
        <v>0.5828006912</v>
      </c>
      <c r="N11" s="4">
        <v>185.83815010787461</v>
      </c>
    </row>
    <row r="12" ht="14.25">
      <c r="A12" s="4" t="s">
        <v>22</v>
      </c>
      <c r="C12" s="4"/>
      <c r="D12" s="4">
        <v>35.417730949999999</v>
      </c>
      <c r="E12" s="4">
        <v>55.639340949999998</v>
      </c>
      <c r="F12" s="4">
        <v>46.970104149999997</v>
      </c>
      <c r="G12" s="4">
        <v>46.970104149999997</v>
      </c>
      <c r="H12" s="4">
        <v>46.970104149999997</v>
      </c>
      <c r="J12" s="4">
        <v>46.970104149999997</v>
      </c>
      <c r="K12" s="4">
        <v>46.970104149999997</v>
      </c>
      <c r="L12" s="4">
        <v>55.639340949999998</v>
      </c>
      <c r="N12" s="4">
        <v>46.970104149999997</v>
      </c>
    </row>
    <row r="13" ht="14.25">
      <c r="A13" s="4" t="s">
        <v>23</v>
      </c>
      <c r="C13" s="4"/>
      <c r="D13" s="4">
        <v>1585.91461</v>
      </c>
      <c r="E13" s="4">
        <v>1585.91461</v>
      </c>
      <c r="F13" s="4">
        <v>1637.56744</v>
      </c>
      <c r="G13" s="4">
        <v>1638.1152</v>
      </c>
      <c r="H13" s="4">
        <v>1606.8459499999999</v>
      </c>
      <c r="J13" s="4">
        <v>1601.1893399999999</v>
      </c>
      <c r="K13" s="4">
        <v>1611.9264000000001</v>
      </c>
      <c r="L13" s="4">
        <v>1596.2213999999999</v>
      </c>
      <c r="N13" s="4">
        <v>1611.9264000000001</v>
      </c>
    </row>
    <row r="14" ht="14.25">
      <c r="A14" s="4" t="s">
        <v>24</v>
      </c>
      <c r="C14" s="4"/>
      <c r="D14" s="4">
        <v>46.212072067103257</v>
      </c>
      <c r="E14" s="4">
        <v>36.562164955427981</v>
      </c>
      <c r="F14" s="4">
        <v>28.0167534975525</v>
      </c>
      <c r="G14" s="4">
        <v>29.412129022385631</v>
      </c>
      <c r="H14" s="4">
        <v>59.589611248039077</v>
      </c>
      <c r="J14" s="4">
        <v>48.290297872142027</v>
      </c>
      <c r="K14" s="4">
        <v>27.0567194837393</v>
      </c>
      <c r="L14" s="4">
        <v>33.7948929984911</v>
      </c>
      <c r="N14" s="4">
        <v>27.0567194837393</v>
      </c>
    </row>
    <row r="15" ht="14.25">
      <c r="A15" s="4" t="s">
        <v>25</v>
      </c>
      <c r="C15" s="4"/>
      <c r="D15" s="4">
        <v>10339.488788988891</v>
      </c>
      <c r="E15" s="4">
        <v>10339.488788988891</v>
      </c>
      <c r="F15" s="4">
        <v>10344.95345049641</v>
      </c>
      <c r="G15" s="4">
        <v>10344.95345049645</v>
      </c>
      <c r="H15" s="4">
        <v>10339.488788988911</v>
      </c>
      <c r="J15" s="4">
        <v>10309.01481623552</v>
      </c>
      <c r="K15" s="4">
        <v>10338.8523240865</v>
      </c>
      <c r="L15" s="4">
        <v>10308.9042769889</v>
      </c>
      <c r="N15" s="4">
        <v>10338.8523240865</v>
      </c>
    </row>
    <row r="16" ht="14.25">
      <c r="A16" s="4" t="s">
        <v>26</v>
      </c>
      <c r="C16" s="4"/>
      <c r="D16" s="4">
        <v>288.30227135991117</v>
      </c>
      <c r="E16" s="4">
        <v>274.29023135991338</v>
      </c>
      <c r="F16" s="4">
        <v>227.0376128161314</v>
      </c>
      <c r="G16" s="4">
        <v>218.2520210880229</v>
      </c>
      <c r="H16" s="4">
        <v>430.23048014211258</v>
      </c>
      <c r="J16" s="4">
        <v>341.73291724526467</v>
      </c>
      <c r="K16" s="4">
        <v>208.72499015910671</v>
      </c>
      <c r="L16" s="4">
        <v>250.42085335991359</v>
      </c>
      <c r="N16" s="4">
        <v>208.72499015910671</v>
      </c>
    </row>
    <row r="17" ht="14.25">
      <c r="A17" s="4" t="s">
        <v>27</v>
      </c>
      <c r="C17" s="4"/>
      <c r="D17" s="4">
        <v>0</v>
      </c>
      <c r="E17" s="4">
        <v>0</v>
      </c>
      <c r="F17" s="4">
        <v>0</v>
      </c>
      <c r="G17" s="4">
        <v>0</v>
      </c>
      <c r="H17" s="4">
        <v>0</v>
      </c>
      <c r="J17" s="4">
        <v>0</v>
      </c>
      <c r="K17" s="4">
        <v>0</v>
      </c>
      <c r="L17" s="4">
        <v>0</v>
      </c>
      <c r="N17" s="4">
        <v>0</v>
      </c>
    </row>
    <row r="18" ht="14.25">
      <c r="A18" s="4" t="s">
        <v>28</v>
      </c>
      <c r="C18" s="4"/>
      <c r="D18" s="4">
        <v>92623.050287719947</v>
      </c>
      <c r="E18" s="4">
        <v>92623.050287719874</v>
      </c>
      <c r="F18" s="4">
        <v>92479.201967459187</v>
      </c>
      <c r="G18" s="4">
        <v>92479.201967458517</v>
      </c>
      <c r="H18" s="4">
        <v>92623.05028772002</v>
      </c>
      <c r="J18" s="4">
        <v>93090.997181584316</v>
      </c>
      <c r="K18" s="4">
        <v>92639.804190406634</v>
      </c>
      <c r="L18" s="4">
        <v>92922.050927719931</v>
      </c>
      <c r="N18" s="4">
        <v>92639.804190406634</v>
      </c>
    </row>
    <row r="19" ht="14.25">
      <c r="A19" s="4" t="s">
        <v>29</v>
      </c>
      <c r="C19" s="4"/>
      <c r="D19" s="4">
        <v>-30343.488367293889</v>
      </c>
      <c r="E19" s="4">
        <v>-30343.48836729394</v>
      </c>
      <c r="F19" s="4">
        <v>-30393.76092033066</v>
      </c>
      <c r="G19" s="4">
        <v>-30393.760920330689</v>
      </c>
      <c r="H19" s="4">
        <v>-30343.488367293881</v>
      </c>
      <c r="J19" s="4">
        <v>-30063.153022915041</v>
      </c>
      <c r="K19" s="4">
        <v>-30337.633161895152</v>
      </c>
      <c r="L19" s="4">
        <v>-30062.161487294001</v>
      </c>
      <c r="N19" s="4">
        <v>-30337.633161895152</v>
      </c>
    </row>
    <row r="20" ht="14.25">
      <c r="A20" s="4" t="s">
        <v>30</v>
      </c>
      <c r="C20" s="4"/>
      <c r="D20" s="4">
        <v>176543.16684470279</v>
      </c>
      <c r="E20" s="4">
        <v>176870.61481882271</v>
      </c>
      <c r="F20" s="4">
        <v>176986.63785476671</v>
      </c>
      <c r="G20" s="4">
        <v>177530.22052460819</v>
      </c>
      <c r="H20" s="4">
        <v>178049.0356995227</v>
      </c>
      <c r="J20" s="4">
        <v>177191.90160428901</v>
      </c>
      <c r="K20" s="4">
        <v>176024.66105619079</v>
      </c>
      <c r="L20" s="4">
        <v>176735.4928387182</v>
      </c>
      <c r="N20" s="4">
        <v>176024.66105619079</v>
      </c>
    </row>
    <row r="21" ht="14.25">
      <c r="D21" s="4"/>
      <c r="H21" s="4"/>
    </row>
    <row r="22" ht="14.25">
      <c r="D22" s="4"/>
      <c r="H22" s="4"/>
    </row>
    <row r="23" ht="14.25">
      <c r="A23" s="6" t="s">
        <v>31</v>
      </c>
      <c r="B23" s="6">
        <v>0</v>
      </c>
      <c r="C23" s="6"/>
      <c r="D23" s="7">
        <f>D6</f>
        <v>0</v>
      </c>
      <c r="E23" s="8">
        <f>E6</f>
        <v>491.17766999999998</v>
      </c>
      <c r="F23" s="8">
        <f>F6</f>
        <v>809.79908999999998</v>
      </c>
      <c r="G23" s="8">
        <f>G6</f>
        <v>1105.9221</v>
      </c>
      <c r="H23" s="8">
        <f>H6</f>
        <v>1152.8978</v>
      </c>
      <c r="I23" s="8"/>
      <c r="J23" s="8">
        <f>J6</f>
        <v>0</v>
      </c>
      <c r="K23" s="8">
        <f>K6</f>
        <v>185.83815000000001</v>
      </c>
      <c r="L23" s="8">
        <f>L6</f>
        <v>4.4829999999999997</v>
      </c>
      <c r="N23" s="8">
        <f>N6</f>
        <v>185.83815000000001</v>
      </c>
    </row>
    <row r="24" ht="14.25">
      <c r="A24" t="s">
        <v>32</v>
      </c>
      <c r="B24" s="9">
        <f>B11/1000</f>
        <v>0</v>
      </c>
      <c r="C24" s="6"/>
      <c r="D24" s="7">
        <f>D11</f>
        <v>0</v>
      </c>
      <c r="E24" s="8">
        <f>E11</f>
        <v>149.2337224143092</v>
      </c>
      <c r="F24" s="8">
        <f>F11</f>
        <v>212.57460395924869</v>
      </c>
      <c r="G24" s="8">
        <f>G11</f>
        <v>309.17249442743878</v>
      </c>
      <c r="H24" s="8">
        <f>H11</f>
        <v>307.37163604812002</v>
      </c>
      <c r="I24" s="8"/>
      <c r="J24" s="8">
        <f>J11</f>
        <v>0</v>
      </c>
      <c r="K24" s="8">
        <f>K11</f>
        <v>54.851794055020378</v>
      </c>
      <c r="L24" s="8">
        <f>L11</f>
        <v>0.5828006912</v>
      </c>
      <c r="N24" s="8">
        <f>N11</f>
        <v>185.83815010787461</v>
      </c>
    </row>
    <row r="26" ht="14.25">
      <c r="A26" t="s">
        <v>33</v>
      </c>
      <c r="B26">
        <v>2.1499999999999999</v>
      </c>
      <c r="C26" s="6"/>
      <c r="D26" s="7">
        <f>D5/1000</f>
        <v>2.822479555469386</v>
      </c>
      <c r="E26" s="9">
        <f>E5/1000</f>
        <v>3.1724287971020888</v>
      </c>
      <c r="F26" s="9">
        <f>F5/1000</f>
        <v>3.2103162698881822</v>
      </c>
      <c r="G26" s="9">
        <f>G5/1000</f>
        <v>3.5705396494738268</v>
      </c>
      <c r="H26" s="9">
        <f>H5/1000</f>
        <v>3.5856563050359349</v>
      </c>
      <c r="J26" s="9">
        <f>J5/1000</f>
        <v>2.7544067292287959</v>
      </c>
      <c r="K26" s="9">
        <f>K5/1000</f>
        <v>2.5209419442099361</v>
      </c>
      <c r="L26" s="9">
        <f>L5/1000</f>
        <v>2.7286918029066021</v>
      </c>
      <c r="N26" s="9">
        <f>N5/1000</f>
        <v>2.5209419442099361</v>
      </c>
    </row>
    <row r="27" ht="14.25">
      <c r="A27" t="s">
        <v>34</v>
      </c>
      <c r="B27">
        <v>0.57999999999999996</v>
      </c>
      <c r="C27" s="6"/>
      <c r="D27" s="7">
        <f>D10/1000</f>
        <v>0.86129550492504603</v>
      </c>
      <c r="E27" s="9">
        <f>E10/1000</f>
        <v>0.95955380296238513</v>
      </c>
      <c r="F27" s="9">
        <f>F10/1000</f>
        <v>0.86245703766490078</v>
      </c>
      <c r="G27" s="9">
        <f>G10/1000</f>
        <v>0.96771333735433673</v>
      </c>
      <c r="H27" s="9">
        <f>H10/1000</f>
        <v>0.97480145458214007</v>
      </c>
      <c r="J27" s="9">
        <f>J10/1000</f>
        <v>0.77620692015063797</v>
      </c>
      <c r="K27" s="9">
        <f>K10/1000</f>
        <v>0.70658427243303035</v>
      </c>
      <c r="L27" s="9">
        <f>L10/1000</f>
        <v>0.80027575755451785</v>
      </c>
      <c r="N27" s="9">
        <f>N10/1000</f>
        <v>0.70658427243303035</v>
      </c>
    </row>
    <row r="28" ht="14.25">
      <c r="A28" t="s">
        <v>35</v>
      </c>
      <c r="B28">
        <v>0.14000000000000001</v>
      </c>
      <c r="C28" s="6"/>
      <c r="D28" s="7">
        <f>D7/1000</f>
        <v>9.8422962059999994e-02</v>
      </c>
      <c r="E28" s="9">
        <f>E7/1000</f>
        <v>0.16510938333999992</v>
      </c>
      <c r="F28" s="9">
        <f>F7/1000</f>
        <v>0.14897144549999991</v>
      </c>
      <c r="G28" s="9">
        <f>G7/1000</f>
        <v>0.14897144549999999</v>
      </c>
      <c r="H28" s="9">
        <f>H7/1000</f>
        <v>0.1489714455000001</v>
      </c>
      <c r="J28" s="9">
        <f>J7/1000</f>
        <v>0.14897144549999999</v>
      </c>
      <c r="K28" s="9">
        <f>K7/1000</f>
        <v>0.14897144549999999</v>
      </c>
      <c r="L28" s="9">
        <f>L7/1000</f>
        <v>0.16510938333999892</v>
      </c>
      <c r="N28" s="9">
        <f>N7/1000</f>
        <v>0.14897144549999999</v>
      </c>
    </row>
    <row r="29" ht="14.25">
      <c r="A29" t="s">
        <v>36</v>
      </c>
      <c r="B29">
        <v>5.0000000000000003e-02</v>
      </c>
      <c r="C29" s="6"/>
      <c r="D29" s="7">
        <f>D12/1000</f>
        <v>3.5417730949999997e-02</v>
      </c>
      <c r="E29" s="9">
        <f>E12/1000</f>
        <v>5.5639340949999998e-02</v>
      </c>
      <c r="F29" s="9">
        <f>F12/1000</f>
        <v>4.6970104149999997e-02</v>
      </c>
      <c r="G29" s="9">
        <f>G12/1000</f>
        <v>4.6970104149999997e-02</v>
      </c>
      <c r="H29" s="9">
        <f>H12/1000</f>
        <v>4.6970104149999997e-02</v>
      </c>
      <c r="J29" s="9">
        <f>J12/1000</f>
        <v>4.6970104149999997e-02</v>
      </c>
      <c r="K29" s="9">
        <f>K12/1000</f>
        <v>4.6970104149999997e-02</v>
      </c>
      <c r="L29" s="9">
        <f>L12/1000</f>
        <v>5.5639340949999998e-02</v>
      </c>
      <c r="N29" s="9">
        <f>N12/1000</f>
        <v>4.6970104149999997e-02</v>
      </c>
    </row>
    <row r="30" ht="14.25">
      <c r="A30" t="s">
        <v>37</v>
      </c>
      <c r="B30">
        <v>23.57</v>
      </c>
      <c r="C30" s="6"/>
      <c r="D30" s="7">
        <f>D8/1000</f>
        <v>23.5869629</v>
      </c>
      <c r="E30" s="9">
        <f>E8/1000</f>
        <v>23.5869629</v>
      </c>
      <c r="F30" s="9">
        <f>F8/1000</f>
        <v>24.049619230000001</v>
      </c>
      <c r="G30" s="9">
        <f>G8/1000</f>
        <v>24.05455869</v>
      </c>
      <c r="H30" s="9">
        <f>H8/1000</f>
        <v>23.774429339999998</v>
      </c>
      <c r="J30" s="9">
        <f>J8/1000</f>
        <v>23.72367947</v>
      </c>
      <c r="K30" s="9">
        <f>K8/1000</f>
        <v>23.819947670000001</v>
      </c>
      <c r="L30" s="9">
        <f>L8/1000</f>
        <v>23.679195970000002</v>
      </c>
      <c r="N30" s="9">
        <f>N8/1000</f>
        <v>23.819947670000001</v>
      </c>
    </row>
    <row r="31" ht="14.25">
      <c r="A31" t="s">
        <v>38</v>
      </c>
      <c r="B31">
        <v>1.5800000000000001</v>
      </c>
      <c r="C31" s="6"/>
      <c r="D31" s="7">
        <f>D13/1000</f>
        <v>1.5859146100000001</v>
      </c>
      <c r="E31" s="9">
        <f>E13/1000</f>
        <v>1.5859146100000001</v>
      </c>
      <c r="F31" s="9">
        <f>F13/1000</f>
        <v>1.63756744</v>
      </c>
      <c r="G31" s="9">
        <f>G13/1000</f>
        <v>1.6381151999999999</v>
      </c>
      <c r="H31" s="9">
        <f>H13/1000</f>
        <v>1.6068459499999999</v>
      </c>
      <c r="J31" s="9">
        <f>J13/1000</f>
        <v>1.6011893399999999</v>
      </c>
      <c r="K31" s="9">
        <f>K13/1000</f>
        <v>1.6119264</v>
      </c>
      <c r="L31" s="9">
        <f>L13/1000</f>
        <v>1.5962213999999999</v>
      </c>
      <c r="N31" s="9">
        <f>N13/1000</f>
        <v>1.6119264</v>
      </c>
    </row>
    <row r="32" ht="14.25">
      <c r="A32" t="s">
        <v>39</v>
      </c>
      <c r="B32">
        <v>10.57</v>
      </c>
      <c r="C32" s="6"/>
      <c r="D32" s="7">
        <f>D15/1000</f>
        <v>10.339488788988891</v>
      </c>
      <c r="E32" s="9">
        <f>E15/1000</f>
        <v>10.339488788988891</v>
      </c>
      <c r="F32" s="9">
        <f>F15/1000</f>
        <v>10.34495345049641</v>
      </c>
      <c r="G32" s="9">
        <f>G15/1000</f>
        <v>10.344953450496451</v>
      </c>
      <c r="H32" s="9">
        <f>H15/1000</f>
        <v>10.339488788988911</v>
      </c>
      <c r="J32" s="9">
        <f>J15/1000</f>
        <v>10.30901481623552</v>
      </c>
      <c r="K32" s="9">
        <f>K15/1000</f>
        <v>10.338852324086499</v>
      </c>
      <c r="L32" s="9">
        <f>L15/1000</f>
        <v>10.308904276988899</v>
      </c>
      <c r="N32" s="9">
        <f>N15/1000</f>
        <v>10.338852324086499</v>
      </c>
    </row>
    <row r="33" ht="14.25">
      <c r="A33" t="s">
        <v>40</v>
      </c>
      <c r="B33">
        <v>0.62</v>
      </c>
      <c r="C33" s="6"/>
      <c r="D33" s="7">
        <f>D9/1000</f>
        <v>0.94061582583106718</v>
      </c>
      <c r="E33" s="9">
        <f>E9/1000</f>
        <v>0.75661017611282033</v>
      </c>
      <c r="F33" s="9">
        <f>F9/1000</f>
        <v>0.65000889925084604</v>
      </c>
      <c r="G33" s="9">
        <f>G9/1000</f>
        <v>0.73001488602091325</v>
      </c>
      <c r="H33" s="9">
        <f>H9/1000</f>
        <v>1.143997596824033</v>
      </c>
      <c r="J33" s="9">
        <f>J9/1000</f>
        <v>0.96025576080048114</v>
      </c>
      <c r="K33" s="9">
        <f>K9/1000</f>
        <v>0.63830587591942523</v>
      </c>
      <c r="L33" s="9">
        <f>L9/1000</f>
        <v>0.8047070975684566</v>
      </c>
      <c r="N33" s="9">
        <f>N9/1000</f>
        <v>0.63830587591942523</v>
      </c>
    </row>
    <row r="34" ht="14.25">
      <c r="A34" t="s">
        <v>41</v>
      </c>
      <c r="B34">
        <v>2.9999999999999999e-02</v>
      </c>
      <c r="C34" s="6"/>
      <c r="D34" s="7">
        <f>D14/1000</f>
        <v>4.621207206710326e-02</v>
      </c>
      <c r="E34" s="9">
        <f>E14/1000</f>
        <v>3.6562164955427981e-02</v>
      </c>
      <c r="F34" s="9">
        <f>F14/1000</f>
        <v>2.8016753497552501e-02</v>
      </c>
      <c r="G34" s="9">
        <f>G14/1000</f>
        <v>2.941212902238563e-02</v>
      </c>
      <c r="H34" s="9">
        <f>H14/1000</f>
        <v>5.9589611248039076e-02</v>
      </c>
      <c r="J34" s="9">
        <f>J14/1000</f>
        <v>4.8290297872142028e-02</v>
      </c>
      <c r="K34" s="9">
        <f>K14/1000</f>
        <v>2.7056719483739302e-02</v>
      </c>
      <c r="L34" s="9">
        <f>L14/1000</f>
        <v>3.3794892998491102e-02</v>
      </c>
      <c r="N34" s="9">
        <f>N14/1000</f>
        <v>2.7056719483739302e-02</v>
      </c>
    </row>
    <row r="35" ht="14.25">
      <c r="A35" t="s">
        <v>42</v>
      </c>
      <c r="B35">
        <v>0.22</v>
      </c>
      <c r="C35" s="6"/>
      <c r="D35" s="7">
        <f>D16/1000</f>
        <v>0.28830227135991116</v>
      </c>
      <c r="E35" s="9">
        <f>E16/1000</f>
        <v>0.27429023135991337</v>
      </c>
      <c r="F35" s="9">
        <f>F16/1000</f>
        <v>0.22703761281613141</v>
      </c>
      <c r="G35" s="9">
        <f>G16/1000</f>
        <v>0.21825202108802291</v>
      </c>
      <c r="H35" s="9">
        <f>H16/1000</f>
        <v>0.43023048014211257</v>
      </c>
      <c r="J35" s="9">
        <f>J16/1000</f>
        <v>0.34173291724526467</v>
      </c>
      <c r="K35" s="9">
        <f>K16/1000</f>
        <v>0.2087249901591067</v>
      </c>
      <c r="L35" s="9">
        <f>L16/1000</f>
        <v>0.2504208533599136</v>
      </c>
      <c r="N35" s="9">
        <f>N16/1000</f>
        <v>0.2087249901591067</v>
      </c>
    </row>
    <row r="36" ht="14.25">
      <c r="A36" t="s">
        <v>43</v>
      </c>
      <c r="B36">
        <v>4.1799999999999997</v>
      </c>
      <c r="C36" s="6"/>
      <c r="D36" s="7">
        <f>D4/1000</f>
        <v>4.0609494800000006</v>
      </c>
      <c r="E36" s="9">
        <f>E4/1000</f>
        <v>4.0609494799999988</v>
      </c>
      <c r="F36" s="9">
        <f>F4/1000</f>
        <v>4.0609494799999784</v>
      </c>
      <c r="G36" s="9">
        <f>G4/1000</f>
        <v>4.0609494800000041</v>
      </c>
      <c r="H36" s="9">
        <f>H4/1000</f>
        <v>4.0609494800000006</v>
      </c>
      <c r="J36" s="9">
        <f>J4/1000</f>
        <v>4.0609494799999863</v>
      </c>
      <c r="K36" s="9">
        <f>K4/1000</f>
        <v>4.0609494800000139</v>
      </c>
      <c r="L36" s="9">
        <f>L4/1000</f>
        <v>4.0609494799999961</v>
      </c>
      <c r="N36" s="9">
        <f>N4/1000</f>
        <v>4.0609494800000139</v>
      </c>
    </row>
    <row r="37" ht="14.25">
      <c r="D37" s="9"/>
      <c r="E37" s="9"/>
      <c r="F37" s="9"/>
      <c r="G37" s="9"/>
      <c r="H37" s="9"/>
      <c r="J37" s="9"/>
      <c r="K37" s="9"/>
      <c r="L37" s="9"/>
      <c r="N37" s="9"/>
    </row>
    <row r="38" ht="14.25">
      <c r="A38" t="s">
        <v>44</v>
      </c>
      <c r="B38" s="8">
        <f>SUM(B26:B36)</f>
        <v>43.689999999999998</v>
      </c>
      <c r="C38" s="8"/>
      <c r="D38" s="7">
        <f>SUM(D26:D36)</f>
        <v>44.666061701651401</v>
      </c>
      <c r="E38" s="8">
        <f>SUM(E26:E36)</f>
        <v>44.99350967577152</v>
      </c>
      <c r="F38" s="8">
        <f>SUM(F26:F36)</f>
        <v>45.266867723264006</v>
      </c>
      <c r="G38" s="8">
        <f>SUM(G26:G36)</f>
        <v>45.810450393105931</v>
      </c>
      <c r="H38" s="8">
        <f>SUM(H26:H36)</f>
        <v>46.171930556471168</v>
      </c>
      <c r="I38" s="8"/>
      <c r="J38" s="8">
        <f>SUM(J26:J36)</f>
        <v>44.771667281182829</v>
      </c>
      <c r="K38" s="8">
        <f>SUM(K26:K36)</f>
        <v>44.129231225941751</v>
      </c>
      <c r="L38" s="8">
        <f>SUM(L26:L36)</f>
        <v>44.483910255666878</v>
      </c>
      <c r="N38" s="8">
        <f>SUM(N26:N36)</f>
        <v>44.129231225941751</v>
      </c>
    </row>
    <row r="39" ht="14.25">
      <c r="A39" t="s">
        <v>45</v>
      </c>
      <c r="B39" s="9">
        <v>-30.59</v>
      </c>
      <c r="C39" s="6"/>
      <c r="D39" s="7">
        <f>D19/1000</f>
        <v>-30.34348836729389</v>
      </c>
      <c r="E39" s="9">
        <f>E19/1000</f>
        <v>-30.34348836729394</v>
      </c>
      <c r="F39" s="9">
        <f>F19/1000</f>
        <v>-30.39376092033066</v>
      </c>
      <c r="G39" s="9">
        <f>G19/1000</f>
        <v>-30.393760920330688</v>
      </c>
      <c r="H39" s="9">
        <f>H19/1000</f>
        <v>-30.34348836729388</v>
      </c>
      <c r="J39" s="9">
        <f>J19/1000</f>
        <v>-30.063153022915042</v>
      </c>
      <c r="K39" s="9">
        <f>K19/1000</f>
        <v>-30.337633161895152</v>
      </c>
      <c r="L39" s="9">
        <f>L19/1000</f>
        <v>-30.062161487294002</v>
      </c>
      <c r="N39" s="9">
        <f>N19/1000</f>
        <v>-30.337633161895152</v>
      </c>
    </row>
    <row r="40" ht="14.25">
      <c r="B40" s="9"/>
      <c r="D40" s="9"/>
      <c r="E40" s="9"/>
      <c r="F40" s="9"/>
      <c r="G40" s="9"/>
      <c r="H40" s="9"/>
      <c r="J40" s="9"/>
      <c r="K40" s="9"/>
      <c r="L40" s="9"/>
      <c r="N40" s="9"/>
    </row>
    <row r="41" ht="14.25">
      <c r="A41" t="s">
        <v>46</v>
      </c>
      <c r="B41" s="9">
        <f>SUM(B38:B39)</f>
        <v>13.099999999999998</v>
      </c>
      <c r="C41" s="6"/>
      <c r="D41" s="7">
        <f>SUM(D38:D39)</f>
        <v>14.322573334357511</v>
      </c>
      <c r="E41" s="9">
        <f>SUM(E38:E39)</f>
        <v>14.65002130847758</v>
      </c>
      <c r="F41" s="9">
        <f>SUM(F38:F39)</f>
        <v>14.873106802933346</v>
      </c>
      <c r="G41" s="9">
        <f>SUM(G38:G39)</f>
        <v>15.416689472775243</v>
      </c>
      <c r="H41" s="9">
        <f>SUM(H38:H39)</f>
        <v>15.828442189177288</v>
      </c>
      <c r="J41" s="9">
        <f>SUM(J38:J39)</f>
        <v>14.708514258267787</v>
      </c>
      <c r="K41" s="9">
        <f>SUM(K38:K39)</f>
        <v>13.7915980640466</v>
      </c>
      <c r="L41" s="9">
        <f>SUM(L38:L39)</f>
        <v>14.421748768372876</v>
      </c>
      <c r="N41" s="9">
        <f>SUM(N38:N39)</f>
        <v>13.7915980640466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2026-08-12T10:19:05Z</dcterms:modified>
</cp:coreProperties>
</file>