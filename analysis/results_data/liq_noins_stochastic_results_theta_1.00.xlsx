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PIPE" sheetId="6" state="visible" r:id="rId6"/>
    <sheet name="EUS - Sinks capacity evolution" sheetId="7" state="visible" r:id="rId7"/>
    <sheet name="EUS - Utilization evolution" sheetId="8" state="visible" r:id="rId8"/>
    <sheet name="EUS - Cost breakdown" sheetId="9" state="visible" r:id="rId9"/>
    <sheet name="HUS - Pipes" sheetId="10" state="visible" r:id="rId10"/>
    <sheet name="HUS - Sinks capacity evolution" sheetId="11" state="visible" r:id="rId11"/>
    <sheet name="HUS - Utilization evolution" sheetId="12" state="visible" r:id="rId12"/>
    <sheet name="HUS - Cost breakdown" sheetId="13" state="visible" r:id="rId13"/>
    <sheet name="Network length per scenario" sheetId="14" state="visible" r:id="rId14"/>
  </sheets>
  <definedNames>
    <definedName name="_xlnm._FilterDatabase" localSheetId="4" hidden="1">'EUS - Pipes'!$A$1:$AD$109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<sst xmlns="http://schemas.openxmlformats.org/spreadsheetml/2006/main" count="302" uniqueCount="302">
  <si>
    <t xml:space="preserve">Pipe ID</t>
  </si>
  <si>
    <t>Installed</t>
  </si>
  <si>
    <t xml:space="preserve">Diameter [inch]</t>
  </si>
  <si>
    <t xml:space="preserve">Distance until highest point [km]</t>
  </si>
  <si>
    <t xml:space="preserve">Longitude [km]</t>
  </si>
  <si>
    <t xml:space="preserve">Node connections</t>
  </si>
  <si>
    <t xml:space="preserve">Node types</t>
  </si>
  <si>
    <t xml:space="preserve">Initial pressure [bar]</t>
  </si>
  <si>
    <t xml:space="preserve">Pressure at highest point [bar]</t>
  </si>
  <si>
    <t xml:space="preserve">Final pressure [bar]</t>
  </si>
  <si>
    <t xml:space="preserve">Lowest pressure [bar]</t>
  </si>
  <si>
    <t xml:space="preserve">Initial temperature [°C]</t>
  </si>
  <si>
    <t xml:space="preserve">Temperature at critical pressure point [°C]</t>
  </si>
  <si>
    <t xml:space="preserve">Final temperature [°C]</t>
  </si>
  <si>
    <t xml:space="preserve">Lowest temperature [°C]</t>
  </si>
  <si>
    <t xml:space="preserve">Number of boosters</t>
  </si>
  <si>
    <t xml:space="preserve">Booster installation year</t>
  </si>
  <si>
    <t xml:space="preserve">Installation Year</t>
  </si>
  <si>
    <t xml:space="preserve">Present Value Cost [M€]</t>
  </si>
  <si>
    <t>Insulated</t>
  </si>
  <si>
    <t xml:space="preserve">U-value [W/m^2/K]</t>
  </si>
  <si>
    <t xml:space="preserve">Insulation cost [M€]</t>
  </si>
  <si>
    <t xml:space="preserve">Booster delta pressure [bar]</t>
  </si>
  <si>
    <t xml:space="preserve">Booster delta temperature [°C]</t>
  </si>
  <si>
    <t xml:space="preserve">Flow in 2030</t>
  </si>
  <si>
    <t xml:space="preserve">Flow in 2035</t>
  </si>
  <si>
    <t xml:space="preserve">Flow in 2040</t>
  </si>
  <si>
    <t xml:space="preserve">Flow in 2045</t>
  </si>
  <si>
    <t xml:space="preserve">Flow in 2050</t>
  </si>
  <si>
    <t>56_b</t>
  </si>
  <si>
    <t xml:space="preserve">(18, 15)</t>
  </si>
  <si>
    <t xml:space="preserve">('E', 'E')</t>
  </si>
  <si>
    <t>70_a</t>
  </si>
  <si>
    <t xml:space="preserve">(16, 19)</t>
  </si>
  <si>
    <t xml:space="preserve">('E', 'S')</t>
  </si>
  <si>
    <t>54_b</t>
  </si>
  <si>
    <t xml:space="preserve">(20, 5)</t>
  </si>
  <si>
    <t xml:space="preserve">('S', 'K')</t>
  </si>
  <si>
    <t>23_a</t>
  </si>
  <si>
    <t xml:space="preserve">(14, 21)</t>
  </si>
  <si>
    <t>54_a</t>
  </si>
  <si>
    <t xml:space="preserve">(5, 20)</t>
  </si>
  <si>
    <t xml:space="preserve">('K', 'S')</t>
  </si>
  <si>
    <t>23_b</t>
  </si>
  <si>
    <t xml:space="preserve">(21, 14)</t>
  </si>
  <si>
    <t xml:space="preserve">('S', 'E')</t>
  </si>
  <si>
    <t>68_b</t>
  </si>
  <si>
    <t xml:space="preserve">(19, 12)</t>
  </si>
  <si>
    <t>70_b</t>
  </si>
  <si>
    <t xml:space="preserve">(19, 16)</t>
  </si>
  <si>
    <t>65_b</t>
  </si>
  <si>
    <t xml:space="preserve">(23, 20)</t>
  </si>
  <si>
    <t xml:space="preserve">('S', 'S')</t>
  </si>
  <si>
    <t>17_a</t>
  </si>
  <si>
    <t xml:space="preserve">(11, 25)</t>
  </si>
  <si>
    <t xml:space="preserve">('E', 'A')</t>
  </si>
  <si>
    <t>51_b</t>
  </si>
  <si>
    <t xml:space="preserve">(12, 4)</t>
  </si>
  <si>
    <t xml:space="preserve">('E', 'K')</t>
  </si>
  <si>
    <t>4_a</t>
  </si>
  <si>
    <t xml:space="preserve">(6, 14)</t>
  </si>
  <si>
    <t xml:space="preserve">('K', 'E')</t>
  </si>
  <si>
    <t>28_b</t>
  </si>
  <si>
    <t xml:space="preserve">(16, 13)</t>
  </si>
  <si>
    <t>58_b</t>
  </si>
  <si>
    <t xml:space="preserve">(24, 4)</t>
  </si>
  <si>
    <t>31_b</t>
  </si>
  <si>
    <t xml:space="preserve">(22, 15)</t>
  </si>
  <si>
    <t>50_b</t>
  </si>
  <si>
    <t xml:space="preserve">(15, 13)</t>
  </si>
  <si>
    <t>49_a</t>
  </si>
  <si>
    <t xml:space="preserve">(17, 25)</t>
  </si>
  <si>
    <t>68_a</t>
  </si>
  <si>
    <t xml:space="preserve">(12, 19)</t>
  </si>
  <si>
    <t>29_a</t>
  </si>
  <si>
    <t xml:space="preserve">(5, 12)</t>
  </si>
  <si>
    <t>63_b</t>
  </si>
  <si>
    <t xml:space="preserve">(17, 11)</t>
  </si>
  <si>
    <t>25_a</t>
  </si>
  <si>
    <t xml:space="preserve">(16, 27)</t>
  </si>
  <si>
    <t>1_a</t>
  </si>
  <si>
    <t xml:space="preserve">(19, 27)</t>
  </si>
  <si>
    <t xml:space="preserve">('S', 'A')</t>
  </si>
  <si>
    <t>50_a</t>
  </si>
  <si>
    <t xml:space="preserve">(13, 15)</t>
  </si>
  <si>
    <t>67_a</t>
  </si>
  <si>
    <t xml:space="preserve">(11, 26)</t>
  </si>
  <si>
    <t>2_b</t>
  </si>
  <si>
    <t xml:space="preserve">(11, 4)</t>
  </si>
  <si>
    <t>56_a</t>
  </si>
  <si>
    <t xml:space="preserve">(15, 18)</t>
  </si>
  <si>
    <t>64_a</t>
  </si>
  <si>
    <t xml:space="preserve">(17, 24)</t>
  </si>
  <si>
    <t>47_a</t>
  </si>
  <si>
    <t xml:space="preserve">(12, 26)</t>
  </si>
  <si>
    <t>40_b</t>
  </si>
  <si>
    <t xml:space="preserve">(21, 20)</t>
  </si>
  <si>
    <t>2_a</t>
  </si>
  <si>
    <t xml:space="preserve">(4, 11)</t>
  </si>
  <si>
    <t>62_a</t>
  </si>
  <si>
    <t xml:space="preserve">(10, 22)</t>
  </si>
  <si>
    <t>44_a</t>
  </si>
  <si>
    <t xml:space="preserve">(12, 23)</t>
  </si>
  <si>
    <t>41_a</t>
  </si>
  <si>
    <t xml:space="preserve">(12, 20)</t>
  </si>
  <si>
    <t>25_b</t>
  </si>
  <si>
    <t xml:space="preserve">(27, 16)</t>
  </si>
  <si>
    <t xml:space="preserve">('A', 'E')</t>
  </si>
  <si>
    <t>5_a</t>
  </si>
  <si>
    <t xml:space="preserve">(13, 23)</t>
  </si>
  <si>
    <t>26_b</t>
  </si>
  <si>
    <t xml:space="preserve">(23, 19)</t>
  </si>
  <si>
    <t>62_b</t>
  </si>
  <si>
    <t xml:space="preserve">(22, 10)</t>
  </si>
  <si>
    <t>30_b</t>
  </si>
  <si>
    <t xml:space="preserve">(19, 13)</t>
  </si>
  <si>
    <t>0_a</t>
  </si>
  <si>
    <t xml:space="preserve">(4, 5)</t>
  </si>
  <si>
    <t xml:space="preserve">('K', 'K')</t>
  </si>
  <si>
    <t>7_b</t>
  </si>
  <si>
    <t xml:space="preserve">(17, 6)</t>
  </si>
  <si>
    <t>67_b</t>
  </si>
  <si>
    <t xml:space="preserve">(26, 11)</t>
  </si>
  <si>
    <t>61_b</t>
  </si>
  <si>
    <t xml:space="preserve">(23, 18)</t>
  </si>
  <si>
    <t>32_b</t>
  </si>
  <si>
    <t xml:space="preserve">(21, 5)</t>
  </si>
  <si>
    <t>36_b</t>
  </si>
  <si>
    <t xml:space="preserve">(20, 10)</t>
  </si>
  <si>
    <t>60_b</t>
  </si>
  <si>
    <t xml:space="preserve">(21, 6)</t>
  </si>
  <si>
    <t>37_a</t>
  </si>
  <si>
    <t xml:space="preserve">(5, 24)</t>
  </si>
  <si>
    <t>49_b</t>
  </si>
  <si>
    <t xml:space="preserve">(25, 17)</t>
  </si>
  <si>
    <t>14_a</t>
  </si>
  <si>
    <t xml:space="preserve">(10, 21)</t>
  </si>
  <si>
    <t>61_a</t>
  </si>
  <si>
    <t xml:space="preserve">(18, 23)</t>
  </si>
  <si>
    <t>9_b</t>
  </si>
  <si>
    <t xml:space="preserve">(23, 15)</t>
  </si>
  <si>
    <t>17_b</t>
  </si>
  <si>
    <t xml:space="preserve">(25, 11)</t>
  </si>
  <si>
    <t>57_a</t>
  </si>
  <si>
    <t xml:space="preserve">(21, 28)</t>
  </si>
  <si>
    <t>31_a</t>
  </si>
  <si>
    <t xml:space="preserve">(15, 22)</t>
  </si>
  <si>
    <t>19_a</t>
  </si>
  <si>
    <t xml:space="preserve">(14, 24)</t>
  </si>
  <si>
    <t>53_a</t>
  </si>
  <si>
    <t xml:space="preserve">(5, 14)</t>
  </si>
  <si>
    <t>3_b</t>
  </si>
  <si>
    <t xml:space="preserve">(17, 4)</t>
  </si>
  <si>
    <t>16_a</t>
  </si>
  <si>
    <t xml:space="preserve">(12, 27)</t>
  </si>
  <si>
    <t>19_b</t>
  </si>
  <si>
    <t xml:space="preserve">(24, 14)</t>
  </si>
  <si>
    <t>0_b</t>
  </si>
  <si>
    <t xml:space="preserve">(5, 4)</t>
  </si>
  <si>
    <t>41_b</t>
  </si>
  <si>
    <t xml:space="preserve">(20, 12)</t>
  </si>
  <si>
    <t>30_a</t>
  </si>
  <si>
    <t xml:space="preserve">(13, 19)</t>
  </si>
  <si>
    <t>65_a</t>
  </si>
  <si>
    <t xml:space="preserve">(20, 23)</t>
  </si>
  <si>
    <t>37_b</t>
  </si>
  <si>
    <t xml:space="preserve">(24, 5)</t>
  </si>
  <si>
    <t>9_a</t>
  </si>
  <si>
    <t xml:space="preserve">(15, 23)</t>
  </si>
  <si>
    <t>64_b</t>
  </si>
  <si>
    <t xml:space="preserve">(24, 17)</t>
  </si>
  <si>
    <t>36_a</t>
  </si>
  <si>
    <t xml:space="preserve">(10, 20)</t>
  </si>
  <si>
    <t>60_a</t>
  </si>
  <si>
    <t xml:space="preserve">(6, 21)</t>
  </si>
  <si>
    <t>10_b</t>
  </si>
  <si>
    <t xml:space="preserve">(22, 18)</t>
  </si>
  <si>
    <t>44_b</t>
  </si>
  <si>
    <t xml:space="preserve">(23, 12)</t>
  </si>
  <si>
    <t>34_a</t>
  </si>
  <si>
    <t xml:space="preserve">(11, 12)</t>
  </si>
  <si>
    <t>43_b</t>
  </si>
  <si>
    <t xml:space="preserve">(17, 14)</t>
  </si>
  <si>
    <t>43_a</t>
  </si>
  <si>
    <t xml:space="preserve">(14, 17)</t>
  </si>
  <si>
    <t>59_a</t>
  </si>
  <si>
    <t xml:space="preserve">(18, 20)</t>
  </si>
  <si>
    <t>16_b</t>
  </si>
  <si>
    <t xml:space="preserve">(27, 12)</t>
  </si>
  <si>
    <t>34_b</t>
  </si>
  <si>
    <t xml:space="preserve">(12, 11)</t>
  </si>
  <si>
    <t>28_a</t>
  </si>
  <si>
    <t xml:space="preserve">(13, 16)</t>
  </si>
  <si>
    <t>1_b</t>
  </si>
  <si>
    <t xml:space="preserve">(27, 19)</t>
  </si>
  <si>
    <t xml:space="preserve">('A', 'S')</t>
  </si>
  <si>
    <t>53_b</t>
  </si>
  <si>
    <t xml:space="preserve">(14, 5)</t>
  </si>
  <si>
    <t>29_b</t>
  </si>
  <si>
    <t xml:space="preserve">(12, 5)</t>
  </si>
  <si>
    <t>57_b</t>
  </si>
  <si>
    <t xml:space="preserve">(28, 21)</t>
  </si>
  <si>
    <t>7_a</t>
  </si>
  <si>
    <t xml:space="preserve">(6, 17)</t>
  </si>
  <si>
    <t>3_a</t>
  </si>
  <si>
    <t xml:space="preserve">(4, 17)</t>
  </si>
  <si>
    <t>14_b</t>
  </si>
  <si>
    <t xml:space="preserve">(21, 10)</t>
  </si>
  <si>
    <t>32_a</t>
  </si>
  <si>
    <t xml:space="preserve">(5, 21)</t>
  </si>
  <si>
    <t>59_b</t>
  </si>
  <si>
    <t xml:space="preserve">(20, 18)</t>
  </si>
  <si>
    <t>40_a</t>
  </si>
  <si>
    <t xml:space="preserve">(20, 21)</t>
  </si>
  <si>
    <t>58_a</t>
  </si>
  <si>
    <t xml:space="preserve">(4, 24)</t>
  </si>
  <si>
    <t>51_a</t>
  </si>
  <si>
    <t xml:space="preserve">(4, 12)</t>
  </si>
  <si>
    <t>26_a</t>
  </si>
  <si>
    <t xml:space="preserve">(19, 23)</t>
  </si>
  <si>
    <t>10_a</t>
  </si>
  <si>
    <t xml:space="preserve">(18, 22)</t>
  </si>
  <si>
    <t>13_b</t>
  </si>
  <si>
    <t xml:space="preserve">(22, 20)</t>
  </si>
  <si>
    <t>13_a</t>
  </si>
  <si>
    <t xml:space="preserve">(20, 22)</t>
  </si>
  <si>
    <t>4_b</t>
  </si>
  <si>
    <t xml:space="preserve">(14, 6)</t>
  </si>
  <si>
    <t>63_a</t>
  </si>
  <si>
    <t xml:space="preserve">(11, 17)</t>
  </si>
  <si>
    <t>5_b</t>
  </si>
  <si>
    <t xml:space="preserve">(23, 13)</t>
  </si>
  <si>
    <t>47_b</t>
  </si>
  <si>
    <t xml:space="preserve">(26, 12)</t>
  </si>
  <si>
    <t>18_b</t>
  </si>
  <si>
    <t xml:space="preserve">(28, 9)</t>
  </si>
  <si>
    <t>71_a</t>
  </si>
  <si>
    <t xml:space="preserve">(8, 9)</t>
  </si>
  <si>
    <t>46_b</t>
  </si>
  <si>
    <t xml:space="preserve">(8, 7)</t>
  </si>
  <si>
    <t>71_b</t>
  </si>
  <si>
    <t xml:space="preserve">(9, 8)</t>
  </si>
  <si>
    <t>20_b</t>
  </si>
  <si>
    <t xml:space="preserve">(27, 3)</t>
  </si>
  <si>
    <t>52_b</t>
  </si>
  <si>
    <t xml:space="preserve">(26, 2)</t>
  </si>
  <si>
    <t>20_a</t>
  </si>
  <si>
    <t xml:space="preserve">(3, 27)</t>
  </si>
  <si>
    <t>11_b</t>
  </si>
  <si>
    <t xml:space="preserve">(25, 1)</t>
  </si>
  <si>
    <t>46_a</t>
  </si>
  <si>
    <t xml:space="preserve">(7, 8)</t>
  </si>
  <si>
    <t>11_a</t>
  </si>
  <si>
    <t xml:space="preserve">(1, 25)</t>
  </si>
  <si>
    <t>52_a</t>
  </si>
  <si>
    <t xml:space="preserve">(2, 26)</t>
  </si>
  <si>
    <t>18_a</t>
  </si>
  <si>
    <t xml:space="preserve">(9, 28)</t>
  </si>
  <si>
    <t xml:space="preserve">Sink node</t>
  </si>
  <si>
    <t xml:space="preserve">Initial capacity [Mt]</t>
  </si>
  <si>
    <t xml:space="preserve">2030 capacity [Mt]</t>
  </si>
  <si>
    <t xml:space="preserve">2035 capacity [Mt]</t>
  </si>
  <si>
    <t xml:space="preserve">2040 capacity [Mt]</t>
  </si>
  <si>
    <t xml:space="preserve">2045 capacity [Mt]</t>
  </si>
  <si>
    <t xml:space="preserve">2050 capacity [Mt]</t>
  </si>
  <si>
    <t xml:space="preserve">Final capacity [Mt]</t>
  </si>
  <si>
    <t xml:space="preserve">Utilization node</t>
  </si>
  <si>
    <t xml:space="preserve">Utilization capacity [Mt]</t>
  </si>
  <si>
    <t xml:space="preserve">2030 utilization [Mt]</t>
  </si>
  <si>
    <t xml:space="preserve">2035 utilization [Mt]</t>
  </si>
  <si>
    <t xml:space="preserve">2040 utilization [Mt]</t>
  </si>
  <si>
    <t xml:space="preserve">2045 utilization [Mt]</t>
  </si>
  <si>
    <t xml:space="preserve">2050 utilization [Mt]</t>
  </si>
  <si>
    <t>Concept</t>
  </si>
  <si>
    <t>Total</t>
  </si>
  <si>
    <t xml:space="preserve">Capture cost</t>
  </si>
  <si>
    <t xml:space="preserve">Injection cost</t>
  </si>
  <si>
    <t xml:space="preserve">CAPEX onshore pipe</t>
  </si>
  <si>
    <t xml:space="preserve">CAPEX onshore pipe (insulation only)</t>
  </si>
  <si>
    <t xml:space="preserve">CAPEX offshore pipe</t>
  </si>
  <si>
    <t xml:space="preserve">CAPEX initial boosting stations</t>
  </si>
  <si>
    <t xml:space="preserve">CAPEX additional boosting stations</t>
  </si>
  <si>
    <t xml:space="preserve">OPEX onshore pipe</t>
  </si>
  <si>
    <t xml:space="preserve">OPEX onshore pipe (insulation only)</t>
  </si>
  <si>
    <t xml:space="preserve">OPEX offshore pipe</t>
  </si>
  <si>
    <t xml:space="preserve">OPEX initial boosting stations</t>
  </si>
  <si>
    <t xml:space="preserve">OPEX additional boosting stations</t>
  </si>
  <si>
    <t xml:space="preserve">Electricity cost initial boosting stations</t>
  </si>
  <si>
    <t xml:space="preserve">Electricity cost additional boosting stations</t>
  </si>
  <si>
    <t xml:space="preserve">Shipping cost</t>
  </si>
  <si>
    <t xml:space="preserve">Penalty for uncaptured emissions</t>
  </si>
  <si>
    <t xml:space="preserve">CO2 sales revenue</t>
  </si>
  <si>
    <t>TOTAL</t>
  </si>
  <si>
    <t xml:space="preserve">Length [km]</t>
  </si>
  <si>
    <t xml:space="preserve">Pipeline identifier</t>
  </si>
  <si>
    <t xml:space="preserve">Node connection</t>
  </si>
  <si>
    <t xml:space="preserve">Connection type</t>
  </si>
  <si>
    <t xml:space="preserve">Longitude (km)</t>
  </si>
  <si>
    <t>Scenario</t>
  </si>
  <si>
    <t>LUS</t>
  </si>
  <si>
    <t>EUS</t>
  </si>
  <si>
    <t>HUS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</si>
</sst>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center"/>
    </xf>
    <xf fontId="0" fillId="0" borderId="0" numFmtId="0" xfId="0" quotePrefix="0" pivotButton="0"/>
    <xf fontId="1" fillId="0" borderId="2" numFmtId="0" xfId="0" applyFont="1" applyBorder="1" applyAlignment="1" quotePrefix="0" pivotButton="0">
      <alignment horizontal="center" vertical="top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>
        <v>0</v>
      </c>
      <c r="D2">
        <v>222.78</v>
      </c>
      <c r="E2">
        <v>263.82999999999998</v>
      </c>
      <c r="F2" t="s">
        <v>30</v>
      </c>
      <c r="G2" t="s">
        <v>31</v>
      </c>
      <c r="T2" t="b">
        <v>0</v>
      </c>
    </row>
    <row r="3">
      <c r="A3" t="s">
        <v>32</v>
      </c>
      <c r="B3">
        <v>0</v>
      </c>
      <c r="D3">
        <v>64.079999999999998</v>
      </c>
      <c r="E3">
        <v>369.45999999999998</v>
      </c>
      <c r="F3" t="s">
        <v>33</v>
      </c>
      <c r="G3" t="s">
        <v>34</v>
      </c>
      <c r="T3" t="b">
        <v>0</v>
      </c>
    </row>
    <row r="4">
      <c r="A4" t="s">
        <v>35</v>
      </c>
      <c r="B4">
        <v>1</v>
      </c>
      <c r="C4">
        <v>14</v>
      </c>
      <c r="D4">
        <v>8.0500000000000007</v>
      </c>
      <c r="E4">
        <v>45.280000000000001</v>
      </c>
      <c r="F4" t="s">
        <v>36</v>
      </c>
      <c r="G4" t="s">
        <v>37</v>
      </c>
      <c r="H4">
        <v>195.23118136090579</v>
      </c>
      <c r="I4">
        <v>192.3942940988172</v>
      </c>
      <c r="J4">
        <v>198.78414085182621</v>
      </c>
      <c r="K4">
        <v>192.3942940988172</v>
      </c>
      <c r="L4">
        <v>22.22778295381169</v>
      </c>
      <c r="M4">
        <v>20.89801659416165</v>
      </c>
      <c r="N4">
        <v>16.618088814512291</v>
      </c>
      <c r="O4">
        <v>16.69210953259531</v>
      </c>
      <c r="P4">
        <v>0</v>
      </c>
      <c r="R4">
        <v>2050</v>
      </c>
      <c r="S4">
        <v>13.0126209624</v>
      </c>
      <c r="T4" t="b">
        <v>0</v>
      </c>
      <c r="U4">
        <v>2</v>
      </c>
      <c r="V4">
        <v>0</v>
      </c>
      <c r="Y4">
        <v>0</v>
      </c>
      <c r="Z4">
        <v>0</v>
      </c>
      <c r="AA4">
        <v>0</v>
      </c>
      <c r="AB4">
        <v>0</v>
      </c>
      <c r="AC4">
        <v>1.7860206797210869</v>
      </c>
    </row>
    <row r="5">
      <c r="A5" t="s">
        <v>38</v>
      </c>
      <c r="B5">
        <v>1</v>
      </c>
      <c r="C5">
        <v>42</v>
      </c>
      <c r="D5">
        <v>38.100000000000001</v>
      </c>
      <c r="E5">
        <v>179.47</v>
      </c>
      <c r="F5" t="s">
        <v>39</v>
      </c>
      <c r="G5" t="s">
        <v>34</v>
      </c>
      <c r="H5">
        <v>150</v>
      </c>
      <c r="I5">
        <v>104.5904604827637</v>
      </c>
      <c r="J5">
        <v>151.78504754763719</v>
      </c>
      <c r="K5">
        <v>104.5904604827637</v>
      </c>
      <c r="L5">
        <v>25</v>
      </c>
      <c r="M5">
        <v>21.240050901800029</v>
      </c>
      <c r="N5">
        <v>19.26951795991317</v>
      </c>
      <c r="O5">
        <v>19.26464852203285</v>
      </c>
      <c r="P5">
        <v>0</v>
      </c>
      <c r="R5">
        <v>2030</v>
      </c>
      <c r="S5">
        <v>471.40957474247989</v>
      </c>
      <c r="T5" t="b">
        <v>0</v>
      </c>
      <c r="U5">
        <v>2</v>
      </c>
      <c r="V5">
        <v>0</v>
      </c>
      <c r="Y5">
        <v>49.549999999999997</v>
      </c>
      <c r="Z5">
        <v>48.428000000000011</v>
      </c>
      <c r="AA5">
        <v>52.259999999999998</v>
      </c>
      <c r="AB5">
        <v>54.119999999999997</v>
      </c>
      <c r="AC5">
        <v>56.320000000000363</v>
      </c>
    </row>
    <row r="6">
      <c r="A6" t="s">
        <v>40</v>
      </c>
      <c r="B6">
        <v>0</v>
      </c>
      <c r="D6">
        <v>37.229999999999997</v>
      </c>
      <c r="E6">
        <v>45.280000000000001</v>
      </c>
      <c r="F6" t="s">
        <v>41</v>
      </c>
      <c r="G6" t="s">
        <v>42</v>
      </c>
      <c r="T6" t="b">
        <v>0</v>
      </c>
    </row>
    <row r="7">
      <c r="A7" t="s">
        <v>43</v>
      </c>
      <c r="B7">
        <v>0</v>
      </c>
      <c r="D7">
        <v>141.37</v>
      </c>
      <c r="E7">
        <v>179.47</v>
      </c>
      <c r="F7" t="s">
        <v>44</v>
      </c>
      <c r="G7" t="s">
        <v>45</v>
      </c>
      <c r="T7" t="b">
        <v>0</v>
      </c>
    </row>
    <row r="8">
      <c r="A8" t="s">
        <v>46</v>
      </c>
      <c r="B8">
        <v>0</v>
      </c>
      <c r="D8">
        <v>160.66</v>
      </c>
      <c r="E8">
        <v>189.69</v>
      </c>
      <c r="F8" t="s">
        <v>47</v>
      </c>
      <c r="G8" t="s">
        <v>45</v>
      </c>
      <c r="T8" t="b">
        <v>0</v>
      </c>
    </row>
    <row r="9">
      <c r="A9" t="s">
        <v>48</v>
      </c>
      <c r="B9">
        <v>0</v>
      </c>
      <c r="D9">
        <v>305.38</v>
      </c>
      <c r="E9">
        <v>369.45999999999998</v>
      </c>
      <c r="F9" t="s">
        <v>49</v>
      </c>
      <c r="G9" t="s">
        <v>45</v>
      </c>
      <c r="T9" t="b">
        <v>0</v>
      </c>
    </row>
    <row r="10">
      <c r="A10" t="s">
        <v>50</v>
      </c>
      <c r="B10">
        <v>0</v>
      </c>
      <c r="D10">
        <v>93.099999999999994</v>
      </c>
      <c r="E10">
        <v>361.88</v>
      </c>
      <c r="F10" t="s">
        <v>51</v>
      </c>
      <c r="G10" t="s">
        <v>52</v>
      </c>
      <c r="T10" t="b">
        <v>0</v>
      </c>
    </row>
    <row r="11">
      <c r="A11" t="s">
        <v>53</v>
      </c>
      <c r="B11">
        <v>0</v>
      </c>
      <c r="D11">
        <v>295.43000000000001</v>
      </c>
      <c r="E11">
        <v>336.49000000000001</v>
      </c>
      <c r="F11" t="s">
        <v>54</v>
      </c>
      <c r="G11" t="s">
        <v>55</v>
      </c>
      <c r="T11" t="b">
        <v>0</v>
      </c>
    </row>
    <row r="12">
      <c r="A12" t="s">
        <v>56</v>
      </c>
      <c r="B12">
        <v>0</v>
      </c>
      <c r="D12">
        <v>173.15000000000001</v>
      </c>
      <c r="E12">
        <v>463.39999999999998</v>
      </c>
      <c r="F12" t="s">
        <v>57</v>
      </c>
      <c r="G12" t="s">
        <v>58</v>
      </c>
      <c r="T12" t="b">
        <v>0</v>
      </c>
    </row>
    <row r="13">
      <c r="A13" t="s">
        <v>59</v>
      </c>
      <c r="B13">
        <v>0</v>
      </c>
      <c r="D13">
        <v>99.730000000000004</v>
      </c>
      <c r="E13">
        <v>151.34999999999999</v>
      </c>
      <c r="F13" t="s">
        <v>60</v>
      </c>
      <c r="G13" t="s">
        <v>61</v>
      </c>
      <c r="T13" t="b">
        <v>0</v>
      </c>
    </row>
    <row r="14">
      <c r="A14" t="s">
        <v>62</v>
      </c>
      <c r="B14">
        <v>0</v>
      </c>
      <c r="D14">
        <v>288.58999999999997</v>
      </c>
      <c r="E14">
        <v>496.16000000000003</v>
      </c>
      <c r="F14" t="s">
        <v>63</v>
      </c>
      <c r="G14" t="s">
        <v>31</v>
      </c>
      <c r="T14" t="b">
        <v>0</v>
      </c>
    </row>
    <row r="15">
      <c r="A15" t="s">
        <v>64</v>
      </c>
      <c r="B15">
        <v>0</v>
      </c>
      <c r="D15">
        <v>25.02</v>
      </c>
      <c r="E15">
        <v>189.66</v>
      </c>
      <c r="F15" t="s">
        <v>65</v>
      </c>
      <c r="G15" t="s">
        <v>37</v>
      </c>
      <c r="T15" t="b">
        <v>0</v>
      </c>
    </row>
    <row r="16">
      <c r="A16" t="s">
        <v>66</v>
      </c>
      <c r="B16">
        <v>0</v>
      </c>
      <c r="D16">
        <v>142.80000000000001</v>
      </c>
      <c r="E16">
        <v>228.47999999999999</v>
      </c>
      <c r="F16" t="s">
        <v>67</v>
      </c>
      <c r="G16" t="s">
        <v>45</v>
      </c>
      <c r="T16" t="b">
        <v>0</v>
      </c>
    </row>
    <row r="17">
      <c r="A17" t="s">
        <v>68</v>
      </c>
      <c r="B17">
        <v>0</v>
      </c>
      <c r="D17">
        <v>332.5</v>
      </c>
      <c r="E17">
        <v>561.50999999999999</v>
      </c>
      <c r="F17" t="s">
        <v>69</v>
      </c>
      <c r="G17" t="s">
        <v>31</v>
      </c>
      <c r="T17" t="b">
        <v>0</v>
      </c>
    </row>
    <row r="18">
      <c r="A18" t="s">
        <v>70</v>
      </c>
      <c r="B18">
        <v>0</v>
      </c>
      <c r="D18">
        <v>165.53</v>
      </c>
      <c r="E18">
        <v>302.06</v>
      </c>
      <c r="F18" t="s">
        <v>71</v>
      </c>
      <c r="G18" t="s">
        <v>55</v>
      </c>
      <c r="T18" t="b">
        <v>0</v>
      </c>
    </row>
    <row r="19">
      <c r="A19" t="s">
        <v>72</v>
      </c>
      <c r="B19">
        <v>0</v>
      </c>
      <c r="D19">
        <v>29.030000000000001</v>
      </c>
      <c r="E19">
        <v>189.69</v>
      </c>
      <c r="F19" t="s">
        <v>73</v>
      </c>
      <c r="G19" t="s">
        <v>34</v>
      </c>
      <c r="T19" t="b">
        <v>0</v>
      </c>
    </row>
    <row r="20">
      <c r="A20" t="s">
        <v>74</v>
      </c>
      <c r="B20">
        <v>0</v>
      </c>
      <c r="D20">
        <v>78.120000000000005</v>
      </c>
      <c r="E20">
        <v>78.120000000000005</v>
      </c>
      <c r="F20" t="s">
        <v>75</v>
      </c>
      <c r="G20" t="s">
        <v>61</v>
      </c>
      <c r="T20" t="b">
        <v>0</v>
      </c>
    </row>
    <row r="21">
      <c r="A21" t="s">
        <v>76</v>
      </c>
      <c r="B21">
        <v>0</v>
      </c>
      <c r="D21">
        <v>134.62</v>
      </c>
      <c r="E21">
        <v>447.88999999999999</v>
      </c>
      <c r="F21" t="s">
        <v>77</v>
      </c>
      <c r="G21" t="s">
        <v>31</v>
      </c>
      <c r="T21" t="b">
        <v>0</v>
      </c>
    </row>
    <row r="22">
      <c r="A22" t="s">
        <v>78</v>
      </c>
      <c r="B22">
        <v>1</v>
      </c>
      <c r="C22">
        <v>38</v>
      </c>
      <c r="D22">
        <v>186.05000000000001</v>
      </c>
      <c r="E22">
        <v>297.07999999999998</v>
      </c>
      <c r="F22" t="s">
        <v>79</v>
      </c>
      <c r="G22" t="s">
        <v>55</v>
      </c>
      <c r="H22">
        <v>150</v>
      </c>
      <c r="I22">
        <v>83.176682540918137</v>
      </c>
      <c r="J22">
        <v>238.75987100735821</v>
      </c>
      <c r="K22">
        <v>83.176682540918137</v>
      </c>
      <c r="L22">
        <v>25</v>
      </c>
      <c r="M22">
        <v>15.521725256131591</v>
      </c>
      <c r="N22">
        <v>27.357528862537919</v>
      </c>
      <c r="O22">
        <v>15.49390042686974</v>
      </c>
      <c r="P22">
        <v>1</v>
      </c>
      <c r="Q22">
        <v>2045</v>
      </c>
      <c r="R22">
        <v>2045</v>
      </c>
      <c r="S22">
        <v>310.44074698728002</v>
      </c>
      <c r="T22" t="b">
        <v>0</v>
      </c>
      <c r="U22">
        <v>2</v>
      </c>
      <c r="V22">
        <v>0</v>
      </c>
      <c r="W22">
        <v>50</v>
      </c>
      <c r="X22">
        <v>10</v>
      </c>
      <c r="Y22">
        <v>0</v>
      </c>
      <c r="Z22">
        <v>0</v>
      </c>
      <c r="AA22">
        <v>0</v>
      </c>
      <c r="AB22">
        <v>88.0053517885529</v>
      </c>
      <c r="AC22">
        <v>110.84999999999999</v>
      </c>
    </row>
    <row r="23">
      <c r="A23" t="s">
        <v>80</v>
      </c>
      <c r="B23">
        <v>0</v>
      </c>
      <c r="D23">
        <v>350.20999999999998</v>
      </c>
      <c r="E23">
        <v>491.30000000000001</v>
      </c>
      <c r="F23" t="s">
        <v>81</v>
      </c>
      <c r="G23" t="s">
        <v>82</v>
      </c>
      <c r="T23" t="b">
        <v>0</v>
      </c>
    </row>
    <row r="24">
      <c r="A24" t="s">
        <v>83</v>
      </c>
      <c r="B24">
        <v>0</v>
      </c>
      <c r="D24">
        <v>229</v>
      </c>
      <c r="E24">
        <v>561.50999999999999</v>
      </c>
      <c r="F24" t="s">
        <v>84</v>
      </c>
      <c r="G24" t="s">
        <v>31</v>
      </c>
      <c r="T24" t="b">
        <v>0</v>
      </c>
    </row>
    <row r="25">
      <c r="A25" t="s">
        <v>85</v>
      </c>
      <c r="B25">
        <v>1</v>
      </c>
      <c r="C25">
        <v>42</v>
      </c>
      <c r="D25">
        <v>12.050000000000001</v>
      </c>
      <c r="E25">
        <v>110.44</v>
      </c>
      <c r="F25" t="s">
        <v>86</v>
      </c>
      <c r="G25" t="s">
        <v>55</v>
      </c>
      <c r="H25">
        <v>150</v>
      </c>
      <c r="I25">
        <v>104.4567885677442</v>
      </c>
      <c r="J25">
        <v>153.4619109159151</v>
      </c>
      <c r="K25">
        <v>104.4567885677442</v>
      </c>
      <c r="L25">
        <v>25</v>
      </c>
      <c r="M25">
        <v>22.201490101073642</v>
      </c>
      <c r="N25">
        <v>22.189588053825378</v>
      </c>
      <c r="O25">
        <v>22.20675066979787</v>
      </c>
      <c r="P25">
        <v>0</v>
      </c>
      <c r="R25">
        <v>2035</v>
      </c>
      <c r="S25">
        <v>216.29824905216</v>
      </c>
      <c r="T25" t="b">
        <v>0</v>
      </c>
      <c r="U25">
        <v>2</v>
      </c>
      <c r="V25">
        <v>0</v>
      </c>
      <c r="Y25">
        <v>0</v>
      </c>
      <c r="Z25">
        <v>135.81999999999999</v>
      </c>
      <c r="AA25">
        <v>131.3300000000001</v>
      </c>
      <c r="AB25">
        <v>128.45999999999989</v>
      </c>
      <c r="AC25">
        <v>127.06999999999999</v>
      </c>
    </row>
    <row r="26">
      <c r="A26" t="s">
        <v>87</v>
      </c>
      <c r="B26">
        <v>0</v>
      </c>
      <c r="D26">
        <v>328.74000000000001</v>
      </c>
      <c r="E26">
        <v>448.82999999999998</v>
      </c>
      <c r="F26" t="s">
        <v>88</v>
      </c>
      <c r="G26" t="s">
        <v>58</v>
      </c>
      <c r="T26" t="b">
        <v>0</v>
      </c>
    </row>
    <row r="27">
      <c r="A27" t="s">
        <v>89</v>
      </c>
      <c r="B27">
        <v>0</v>
      </c>
      <c r="D27">
        <v>41.049999999999997</v>
      </c>
      <c r="E27">
        <v>263.82999999999998</v>
      </c>
      <c r="F27" t="s">
        <v>90</v>
      </c>
      <c r="G27" t="s">
        <v>31</v>
      </c>
      <c r="T27" t="b">
        <v>0</v>
      </c>
    </row>
    <row r="28">
      <c r="A28" t="s">
        <v>91</v>
      </c>
      <c r="B28">
        <v>0</v>
      </c>
      <c r="D28">
        <v>222.05000000000001</v>
      </c>
      <c r="E28">
        <v>245.06</v>
      </c>
      <c r="F28" t="s">
        <v>92</v>
      </c>
      <c r="G28" t="s">
        <v>34</v>
      </c>
      <c r="T28" t="b">
        <v>0</v>
      </c>
    </row>
    <row r="29">
      <c r="A29" t="s">
        <v>93</v>
      </c>
      <c r="B29">
        <v>0</v>
      </c>
      <c r="D29">
        <v>31.510000000000002</v>
      </c>
      <c r="E29">
        <v>562.63</v>
      </c>
      <c r="F29" t="s">
        <v>94</v>
      </c>
      <c r="G29" t="s">
        <v>55</v>
      </c>
      <c r="T29" t="b">
        <v>0</v>
      </c>
    </row>
    <row r="30">
      <c r="A30" t="s">
        <v>95</v>
      </c>
      <c r="B30">
        <v>0</v>
      </c>
      <c r="D30">
        <v>209.77000000000001</v>
      </c>
      <c r="E30">
        <v>326.42000000000002</v>
      </c>
      <c r="F30" t="s">
        <v>96</v>
      </c>
      <c r="G30" t="s">
        <v>52</v>
      </c>
      <c r="T30" t="b">
        <v>0</v>
      </c>
    </row>
    <row r="31">
      <c r="A31" t="s">
        <v>97</v>
      </c>
      <c r="B31">
        <v>0</v>
      </c>
      <c r="D31">
        <v>120.09</v>
      </c>
      <c r="E31">
        <v>448.82999999999998</v>
      </c>
      <c r="F31" t="s">
        <v>98</v>
      </c>
      <c r="G31" t="s">
        <v>61</v>
      </c>
      <c r="T31" t="b">
        <v>0</v>
      </c>
    </row>
    <row r="32">
      <c r="A32" t="s">
        <v>99</v>
      </c>
      <c r="B32">
        <v>0</v>
      </c>
      <c r="D32">
        <v>85.739999999999995</v>
      </c>
      <c r="E32">
        <v>147.41</v>
      </c>
      <c r="F32" t="s">
        <v>100</v>
      </c>
      <c r="G32" t="s">
        <v>34</v>
      </c>
      <c r="T32" t="b">
        <v>0</v>
      </c>
    </row>
    <row r="33">
      <c r="A33" t="s">
        <v>101</v>
      </c>
      <c r="B33">
        <v>0</v>
      </c>
      <c r="D33">
        <v>90.599999999999994</v>
      </c>
      <c r="E33">
        <v>348.87</v>
      </c>
      <c r="F33" t="s">
        <v>102</v>
      </c>
      <c r="G33" t="s">
        <v>34</v>
      </c>
      <c r="T33" t="b">
        <v>0</v>
      </c>
    </row>
    <row r="34">
      <c r="A34" t="s">
        <v>103</v>
      </c>
      <c r="B34">
        <v>1</v>
      </c>
      <c r="C34">
        <v>18</v>
      </c>
      <c r="D34">
        <v>0</v>
      </c>
      <c r="E34">
        <v>100.59999999999999</v>
      </c>
      <c r="F34" t="s">
        <v>104</v>
      </c>
      <c r="G34" t="s">
        <v>34</v>
      </c>
      <c r="H34">
        <v>150</v>
      </c>
      <c r="I34">
        <v>150</v>
      </c>
      <c r="J34">
        <v>168.45240383376219</v>
      </c>
      <c r="K34">
        <v>150</v>
      </c>
      <c r="L34">
        <v>25</v>
      </c>
      <c r="M34">
        <v>25</v>
      </c>
      <c r="N34">
        <v>16.035812905989271</v>
      </c>
      <c r="O34">
        <v>16.078972943609589</v>
      </c>
      <c r="P34">
        <v>1</v>
      </c>
      <c r="Q34">
        <v>2050</v>
      </c>
      <c r="R34">
        <v>2030</v>
      </c>
      <c r="S34">
        <v>121.3260397596504</v>
      </c>
      <c r="T34" t="b">
        <v>0</v>
      </c>
      <c r="U34">
        <v>2</v>
      </c>
      <c r="V34">
        <v>0</v>
      </c>
      <c r="W34">
        <v>50</v>
      </c>
      <c r="X34">
        <v>10</v>
      </c>
      <c r="Y34">
        <v>19.63799999999847</v>
      </c>
      <c r="Z34">
        <v>0</v>
      </c>
      <c r="AA34">
        <v>25.800000000000001</v>
      </c>
      <c r="AB34">
        <v>1.0935000000000059</v>
      </c>
      <c r="AC34">
        <v>1.7860206797210869</v>
      </c>
    </row>
    <row r="35">
      <c r="A35" t="s">
        <v>105</v>
      </c>
      <c r="B35">
        <v>0</v>
      </c>
      <c r="D35">
        <v>109.53</v>
      </c>
      <c r="E35">
        <v>297.07999999999998</v>
      </c>
      <c r="F35" t="s">
        <v>106</v>
      </c>
      <c r="G35" t="s">
        <v>107</v>
      </c>
      <c r="T35" t="b">
        <v>0</v>
      </c>
    </row>
    <row r="36">
      <c r="A36" t="s">
        <v>108</v>
      </c>
      <c r="B36">
        <v>1</v>
      </c>
      <c r="C36">
        <v>30</v>
      </c>
      <c r="D36">
        <v>65.689999999999998</v>
      </c>
      <c r="E36">
        <v>80.230000000000004</v>
      </c>
      <c r="F36" t="s">
        <v>109</v>
      </c>
      <c r="G36" t="s">
        <v>34</v>
      </c>
      <c r="H36">
        <v>150</v>
      </c>
      <c r="I36">
        <v>108.84972209357031</v>
      </c>
      <c r="J36">
        <v>142.61202987447379</v>
      </c>
      <c r="K36">
        <v>108.84972209357031</v>
      </c>
      <c r="L36">
        <v>25</v>
      </c>
      <c r="M36">
        <v>19.979066503117931</v>
      </c>
      <c r="N36">
        <v>20.615834690231029</v>
      </c>
      <c r="O36">
        <v>19.584347759664361</v>
      </c>
      <c r="P36">
        <v>0</v>
      </c>
      <c r="R36">
        <v>2035</v>
      </c>
      <c r="S36">
        <v>115.19613143949999</v>
      </c>
      <c r="T36" t="b">
        <v>0</v>
      </c>
      <c r="U36">
        <v>2</v>
      </c>
      <c r="V36">
        <v>0</v>
      </c>
      <c r="Y36">
        <v>0</v>
      </c>
      <c r="Z36">
        <v>28.314000000000021</v>
      </c>
      <c r="AA36">
        <v>60.520000000000863</v>
      </c>
      <c r="AB36">
        <v>63.92000000000084</v>
      </c>
      <c r="AC36">
        <v>67.67000000000084</v>
      </c>
    </row>
    <row r="37">
      <c r="A37" t="s">
        <v>110</v>
      </c>
      <c r="B37">
        <v>0</v>
      </c>
      <c r="D37">
        <v>134.71000000000001</v>
      </c>
      <c r="E37">
        <v>263.91000000000003</v>
      </c>
      <c r="F37" t="s">
        <v>111</v>
      </c>
      <c r="G37" t="s">
        <v>52</v>
      </c>
      <c r="T37" t="b">
        <v>0</v>
      </c>
    </row>
    <row r="38">
      <c r="A38" t="s">
        <v>112</v>
      </c>
      <c r="B38">
        <v>0</v>
      </c>
      <c r="D38">
        <v>61.670000000000002</v>
      </c>
      <c r="E38">
        <v>147.41</v>
      </c>
      <c r="F38" t="s">
        <v>113</v>
      </c>
      <c r="G38" t="s">
        <v>45</v>
      </c>
      <c r="T38" t="b">
        <v>0</v>
      </c>
    </row>
    <row r="39">
      <c r="A39" t="s">
        <v>114</v>
      </c>
      <c r="B39">
        <v>0</v>
      </c>
      <c r="D39">
        <v>199.06</v>
      </c>
      <c r="E39">
        <v>243.08000000000001</v>
      </c>
      <c r="F39" t="s">
        <v>115</v>
      </c>
      <c r="G39" t="s">
        <v>45</v>
      </c>
      <c r="T39" t="b">
        <v>0</v>
      </c>
    </row>
    <row r="40">
      <c r="A40" t="s">
        <v>116</v>
      </c>
      <c r="B40">
        <v>0</v>
      </c>
      <c r="D40">
        <v>302.32999999999998</v>
      </c>
      <c r="E40">
        <v>423.45999999999998</v>
      </c>
      <c r="F40" t="s">
        <v>117</v>
      </c>
      <c r="G40" t="s">
        <v>118</v>
      </c>
      <c r="T40" t="b">
        <v>0</v>
      </c>
    </row>
    <row r="41">
      <c r="A41" t="s">
        <v>119</v>
      </c>
      <c r="B41">
        <v>0</v>
      </c>
      <c r="D41">
        <v>167.02000000000001</v>
      </c>
      <c r="E41">
        <v>518.05999999999995</v>
      </c>
      <c r="F41" t="s">
        <v>120</v>
      </c>
      <c r="G41" t="s">
        <v>58</v>
      </c>
      <c r="T41" t="b">
        <v>0</v>
      </c>
    </row>
    <row r="42">
      <c r="A42" t="s">
        <v>121</v>
      </c>
      <c r="B42">
        <v>0</v>
      </c>
      <c r="D42">
        <v>85.340000000000003</v>
      </c>
      <c r="E42">
        <v>110.44</v>
      </c>
      <c r="F42" t="s">
        <v>122</v>
      </c>
      <c r="G42" t="s">
        <v>107</v>
      </c>
      <c r="T42" t="b">
        <v>0</v>
      </c>
    </row>
    <row r="43">
      <c r="A43" t="s">
        <v>123</v>
      </c>
      <c r="B43">
        <v>0</v>
      </c>
      <c r="D43">
        <v>4</v>
      </c>
      <c r="E43">
        <v>233.52000000000001</v>
      </c>
      <c r="F43" t="s">
        <v>124</v>
      </c>
      <c r="G43" t="s">
        <v>45</v>
      </c>
      <c r="T43" t="b">
        <v>0</v>
      </c>
    </row>
    <row r="44">
      <c r="A44" t="s">
        <v>125</v>
      </c>
      <c r="B44">
        <v>0</v>
      </c>
      <c r="D44">
        <v>41.520000000000003</v>
      </c>
      <c r="E44">
        <v>345.18000000000001</v>
      </c>
      <c r="F44" t="s">
        <v>126</v>
      </c>
      <c r="G44" t="s">
        <v>37</v>
      </c>
      <c r="T44" t="b">
        <v>0</v>
      </c>
    </row>
    <row r="45">
      <c r="A45" t="s">
        <v>127</v>
      </c>
      <c r="B45">
        <v>0</v>
      </c>
      <c r="D45">
        <v>248.75</v>
      </c>
      <c r="E45">
        <v>325.82999999999998</v>
      </c>
      <c r="F45" t="s">
        <v>128</v>
      </c>
      <c r="G45" t="s">
        <v>45</v>
      </c>
      <c r="T45" t="b">
        <v>0</v>
      </c>
    </row>
    <row r="46">
      <c r="A46" t="s">
        <v>129</v>
      </c>
      <c r="B46">
        <v>1</v>
      </c>
      <c r="C46">
        <v>30</v>
      </c>
      <c r="D46">
        <v>42.530000000000001</v>
      </c>
      <c r="E46">
        <v>127.09999999999999</v>
      </c>
      <c r="F46" t="s">
        <v>130</v>
      </c>
      <c r="G46" t="s">
        <v>37</v>
      </c>
      <c r="H46">
        <v>136.2220811554435</v>
      </c>
      <c r="I46">
        <v>100.3286453877119</v>
      </c>
      <c r="J46">
        <v>179.01287984978001</v>
      </c>
      <c r="K46">
        <v>100.3286453877119</v>
      </c>
      <c r="L46">
        <v>23.788197661621911</v>
      </c>
      <c r="M46">
        <v>19.95630475813536</v>
      </c>
      <c r="N46">
        <v>19.662083163755991</v>
      </c>
      <c r="O46">
        <v>19.633161373460389</v>
      </c>
      <c r="P46">
        <v>0</v>
      </c>
      <c r="R46">
        <v>2050</v>
      </c>
      <c r="S46">
        <v>83.447488771872003</v>
      </c>
      <c r="T46" t="b">
        <v>0</v>
      </c>
      <c r="U46">
        <v>2</v>
      </c>
      <c r="V46">
        <v>0</v>
      </c>
      <c r="Y46">
        <v>0</v>
      </c>
      <c r="Z46">
        <v>0</v>
      </c>
      <c r="AA46">
        <v>0</v>
      </c>
      <c r="AB46">
        <v>0</v>
      </c>
      <c r="AC46">
        <v>37.172148211448587</v>
      </c>
    </row>
    <row r="47">
      <c r="A47" t="s">
        <v>131</v>
      </c>
      <c r="B47">
        <v>0</v>
      </c>
      <c r="D47">
        <v>261.07999999999998</v>
      </c>
      <c r="E47">
        <v>347.61000000000001</v>
      </c>
      <c r="F47" t="s">
        <v>132</v>
      </c>
      <c r="G47" t="s">
        <v>42</v>
      </c>
      <c r="T47" t="b">
        <v>0</v>
      </c>
    </row>
    <row r="48">
      <c r="A48" t="s">
        <v>133</v>
      </c>
      <c r="B48">
        <v>0</v>
      </c>
      <c r="D48">
        <v>48.509999999999998</v>
      </c>
      <c r="E48">
        <v>302.06</v>
      </c>
      <c r="F48" t="s">
        <v>134</v>
      </c>
      <c r="G48" t="s">
        <v>107</v>
      </c>
      <c r="T48" t="b">
        <v>0</v>
      </c>
    </row>
    <row r="49">
      <c r="A49" t="s">
        <v>135</v>
      </c>
      <c r="B49">
        <v>1</v>
      </c>
      <c r="C49">
        <v>26</v>
      </c>
      <c r="D49">
        <v>147.03</v>
      </c>
      <c r="E49">
        <v>222.05000000000001</v>
      </c>
      <c r="F49" t="s">
        <v>136</v>
      </c>
      <c r="G49" t="s">
        <v>34</v>
      </c>
      <c r="H49">
        <v>150</v>
      </c>
      <c r="I49">
        <v>68.230718278973612</v>
      </c>
      <c r="J49">
        <v>136.2220811554435</v>
      </c>
      <c r="K49">
        <v>68.230718278973612</v>
      </c>
      <c r="L49">
        <v>25</v>
      </c>
      <c r="M49">
        <v>14.39816335964983</v>
      </c>
      <c r="N49">
        <v>23.78819766162184</v>
      </c>
      <c r="O49">
        <v>13.253160153372139</v>
      </c>
      <c r="P49">
        <v>1</v>
      </c>
      <c r="Q49">
        <v>2040</v>
      </c>
      <c r="R49">
        <v>2040</v>
      </c>
      <c r="S49">
        <v>210.84234466969991</v>
      </c>
      <c r="T49" t="b">
        <v>0</v>
      </c>
      <c r="U49">
        <v>2</v>
      </c>
      <c r="V49">
        <v>0</v>
      </c>
      <c r="W49">
        <v>50</v>
      </c>
      <c r="X49">
        <v>10</v>
      </c>
      <c r="Y49">
        <v>0</v>
      </c>
      <c r="Z49">
        <v>0</v>
      </c>
      <c r="AA49">
        <v>31.759999999999049</v>
      </c>
      <c r="AB49">
        <v>55.110648211446119</v>
      </c>
      <c r="AC49">
        <v>55.110648211446119</v>
      </c>
    </row>
    <row r="50">
      <c r="A50" t="s">
        <v>137</v>
      </c>
      <c r="B50">
        <v>0</v>
      </c>
      <c r="D50">
        <v>229.52000000000001</v>
      </c>
      <c r="E50">
        <v>233.52000000000001</v>
      </c>
      <c r="F50" t="s">
        <v>138</v>
      </c>
      <c r="G50" t="s">
        <v>34</v>
      </c>
      <c r="T50" t="b">
        <v>0</v>
      </c>
    </row>
    <row r="51">
      <c r="A51" t="s">
        <v>139</v>
      </c>
      <c r="B51">
        <v>0</v>
      </c>
      <c r="D51">
        <v>2.5</v>
      </c>
      <c r="E51">
        <v>484.77999999999997</v>
      </c>
      <c r="F51" t="s">
        <v>140</v>
      </c>
      <c r="G51" t="s">
        <v>45</v>
      </c>
      <c r="T51" t="b">
        <v>0</v>
      </c>
    </row>
    <row r="52">
      <c r="A52" t="s">
        <v>141</v>
      </c>
      <c r="B52">
        <v>0</v>
      </c>
      <c r="D52">
        <v>40.560000000000002</v>
      </c>
      <c r="E52">
        <v>336.49000000000001</v>
      </c>
      <c r="F52" t="s">
        <v>142</v>
      </c>
      <c r="G52" t="s">
        <v>107</v>
      </c>
      <c r="T52" t="b">
        <v>0</v>
      </c>
    </row>
    <row r="53">
      <c r="A53" t="s">
        <v>143</v>
      </c>
      <c r="B53">
        <v>0</v>
      </c>
      <c r="D53">
        <v>80.109999999999999</v>
      </c>
      <c r="E53">
        <v>166.22999999999999</v>
      </c>
      <c r="F53" t="s">
        <v>144</v>
      </c>
      <c r="G53" t="s">
        <v>82</v>
      </c>
      <c r="T53" t="b">
        <v>0</v>
      </c>
    </row>
    <row r="54">
      <c r="A54" t="s">
        <v>145</v>
      </c>
      <c r="B54">
        <v>1</v>
      </c>
      <c r="C54">
        <v>30</v>
      </c>
      <c r="D54">
        <v>85.680000000000007</v>
      </c>
      <c r="E54">
        <v>228.47999999999999</v>
      </c>
      <c r="F54" t="s">
        <v>146</v>
      </c>
      <c r="G54" t="s">
        <v>34</v>
      </c>
      <c r="H54">
        <v>150</v>
      </c>
      <c r="I54">
        <v>87.351039791189024</v>
      </c>
      <c r="J54">
        <v>157.6675315344321</v>
      </c>
      <c r="K54">
        <v>87.351039791189024</v>
      </c>
      <c r="L54">
        <v>25</v>
      </c>
      <c r="M54">
        <v>18.302202390233798</v>
      </c>
      <c r="N54">
        <v>25.322260881596801</v>
      </c>
      <c r="O54">
        <v>15.34152481551364</v>
      </c>
      <c r="P54">
        <v>1</v>
      </c>
      <c r="Q54">
        <v>2050</v>
      </c>
      <c r="R54">
        <v>2050</v>
      </c>
      <c r="S54">
        <v>143.82851094527999</v>
      </c>
      <c r="T54" t="b">
        <v>0</v>
      </c>
      <c r="U54">
        <v>2</v>
      </c>
      <c r="V54">
        <v>0</v>
      </c>
      <c r="W54">
        <v>50</v>
      </c>
      <c r="X54">
        <v>10</v>
      </c>
      <c r="Y54">
        <v>0</v>
      </c>
      <c r="Z54">
        <v>0</v>
      </c>
      <c r="AA54">
        <v>0</v>
      </c>
      <c r="AB54">
        <v>0</v>
      </c>
      <c r="AC54">
        <v>73.04000000000066</v>
      </c>
    </row>
    <row r="55">
      <c r="A55" t="s">
        <v>147</v>
      </c>
      <c r="B55">
        <v>0</v>
      </c>
      <c r="D55">
        <v>55.079999999999998</v>
      </c>
      <c r="E55">
        <v>130.69999999999999</v>
      </c>
      <c r="F55" t="s">
        <v>148</v>
      </c>
      <c r="G55" t="s">
        <v>34</v>
      </c>
      <c r="T55" t="b">
        <v>0</v>
      </c>
    </row>
    <row r="56">
      <c r="A56" t="s">
        <v>149</v>
      </c>
      <c r="B56">
        <v>0</v>
      </c>
      <c r="D56">
        <v>339.38999999999999</v>
      </c>
      <c r="E56">
        <v>371.42000000000002</v>
      </c>
      <c r="F56" t="s">
        <v>150</v>
      </c>
      <c r="G56" t="s">
        <v>61</v>
      </c>
      <c r="T56" t="b">
        <v>0</v>
      </c>
    </row>
    <row r="57">
      <c r="A57" t="s">
        <v>151</v>
      </c>
      <c r="B57">
        <v>1</v>
      </c>
      <c r="C57">
        <v>34</v>
      </c>
      <c r="D57">
        <v>57.789999999999999</v>
      </c>
      <c r="E57">
        <v>68.849999999999994</v>
      </c>
      <c r="F57" t="s">
        <v>152</v>
      </c>
      <c r="G57" t="s">
        <v>58</v>
      </c>
      <c r="H57">
        <v>150</v>
      </c>
      <c r="I57">
        <v>137.4783621911773</v>
      </c>
      <c r="J57">
        <v>143.33677043686069</v>
      </c>
      <c r="K57">
        <v>137.4783621911773</v>
      </c>
      <c r="L57">
        <v>25</v>
      </c>
      <c r="M57">
        <v>21.998052829513199</v>
      </c>
      <c r="N57">
        <v>21.839455172588909</v>
      </c>
      <c r="O57">
        <v>21.759017174318629</v>
      </c>
      <c r="P57">
        <v>0</v>
      </c>
      <c r="R57">
        <v>2040</v>
      </c>
      <c r="S57">
        <v>81.692508499649989</v>
      </c>
      <c r="T57" t="b">
        <v>0</v>
      </c>
      <c r="U57">
        <v>2</v>
      </c>
      <c r="V57">
        <v>0</v>
      </c>
      <c r="Y57">
        <v>0</v>
      </c>
      <c r="Z57">
        <v>0</v>
      </c>
      <c r="AA57">
        <v>60.486000000000132</v>
      </c>
      <c r="AB57">
        <v>74.209999999999994</v>
      </c>
      <c r="AC57">
        <v>75</v>
      </c>
    </row>
    <row r="58">
      <c r="A58" t="s">
        <v>153</v>
      </c>
      <c r="B58">
        <v>0</v>
      </c>
      <c r="D58">
        <v>30.510000000000002</v>
      </c>
      <c r="E58">
        <v>555.74000000000001</v>
      </c>
      <c r="F58" t="s">
        <v>154</v>
      </c>
      <c r="G58" t="s">
        <v>55</v>
      </c>
      <c r="T58" t="b">
        <v>0</v>
      </c>
    </row>
    <row r="59">
      <c r="A59" t="s">
        <v>155</v>
      </c>
      <c r="B59">
        <v>0</v>
      </c>
      <c r="D59">
        <v>75.609999999999999</v>
      </c>
      <c r="E59">
        <v>130.69999999999999</v>
      </c>
      <c r="F59" t="s">
        <v>156</v>
      </c>
      <c r="G59" t="s">
        <v>45</v>
      </c>
      <c r="T59" t="b">
        <v>0</v>
      </c>
    </row>
    <row r="60">
      <c r="A60" t="s">
        <v>157</v>
      </c>
      <c r="B60">
        <v>0</v>
      </c>
      <c r="D60">
        <v>121.13</v>
      </c>
      <c r="E60">
        <v>423.45999999999998</v>
      </c>
      <c r="F60" t="s">
        <v>158</v>
      </c>
      <c r="G60" t="s">
        <v>118</v>
      </c>
      <c r="T60" t="b">
        <v>0</v>
      </c>
    </row>
    <row r="61">
      <c r="A61" t="s">
        <v>159</v>
      </c>
      <c r="B61">
        <v>0</v>
      </c>
      <c r="D61">
        <v>100.59999999999999</v>
      </c>
      <c r="E61">
        <v>100.59999999999999</v>
      </c>
      <c r="F61" t="s">
        <v>160</v>
      </c>
      <c r="G61" t="s">
        <v>45</v>
      </c>
      <c r="T61" t="b">
        <v>0</v>
      </c>
    </row>
    <row r="62">
      <c r="A62" t="s">
        <v>161</v>
      </c>
      <c r="B62">
        <v>0</v>
      </c>
      <c r="D62">
        <v>44.009999999999998</v>
      </c>
      <c r="E62">
        <v>243.08000000000001</v>
      </c>
      <c r="F62" t="s">
        <v>162</v>
      </c>
      <c r="G62" t="s">
        <v>34</v>
      </c>
      <c r="T62" t="b">
        <v>0</v>
      </c>
    </row>
    <row r="63">
      <c r="A63" t="s">
        <v>163</v>
      </c>
      <c r="B63">
        <v>0</v>
      </c>
      <c r="D63">
        <v>268.79000000000002</v>
      </c>
      <c r="E63">
        <v>361.88</v>
      </c>
      <c r="F63" t="s">
        <v>164</v>
      </c>
      <c r="G63" t="s">
        <v>52</v>
      </c>
      <c r="T63" t="b">
        <v>0</v>
      </c>
    </row>
    <row r="64">
      <c r="A64" t="s">
        <v>165</v>
      </c>
      <c r="B64">
        <v>0</v>
      </c>
      <c r="D64">
        <v>86.530000000000001</v>
      </c>
      <c r="E64">
        <v>347.61000000000001</v>
      </c>
      <c r="F64" t="s">
        <v>166</v>
      </c>
      <c r="G64" t="s">
        <v>37</v>
      </c>
      <c r="T64" t="b">
        <v>0</v>
      </c>
    </row>
    <row r="65">
      <c r="A65" t="s">
        <v>167</v>
      </c>
      <c r="B65">
        <v>0</v>
      </c>
      <c r="D65">
        <v>482.27999999999997</v>
      </c>
      <c r="E65">
        <v>484.77999999999997</v>
      </c>
      <c r="F65" t="s">
        <v>168</v>
      </c>
      <c r="G65" t="s">
        <v>34</v>
      </c>
      <c r="T65" t="b">
        <v>0</v>
      </c>
    </row>
    <row r="66">
      <c r="A66" t="s">
        <v>169</v>
      </c>
      <c r="B66">
        <v>0</v>
      </c>
      <c r="D66">
        <v>23.010000000000002</v>
      </c>
      <c r="E66">
        <v>245.06</v>
      </c>
      <c r="F66" t="s">
        <v>170</v>
      </c>
      <c r="G66" t="s">
        <v>45</v>
      </c>
      <c r="T66" t="b">
        <v>0</v>
      </c>
    </row>
    <row r="67">
      <c r="A67" t="s">
        <v>171</v>
      </c>
      <c r="B67">
        <v>0</v>
      </c>
      <c r="D67">
        <v>77.079999999999998</v>
      </c>
      <c r="E67">
        <v>325.82999999999998</v>
      </c>
      <c r="F67" t="s">
        <v>172</v>
      </c>
      <c r="G67" t="s">
        <v>34</v>
      </c>
      <c r="T67" t="b">
        <v>0</v>
      </c>
    </row>
    <row r="68">
      <c r="A68" t="s">
        <v>173</v>
      </c>
      <c r="B68">
        <v>0</v>
      </c>
      <c r="D68">
        <v>84.569999999999993</v>
      </c>
      <c r="E68">
        <v>127.09999999999999</v>
      </c>
      <c r="F68" t="s">
        <v>174</v>
      </c>
      <c r="G68" t="s">
        <v>42</v>
      </c>
      <c r="T68" t="b">
        <v>0</v>
      </c>
    </row>
    <row r="69">
      <c r="A69" t="s">
        <v>175</v>
      </c>
      <c r="B69">
        <v>0</v>
      </c>
      <c r="D69">
        <v>132.71000000000001</v>
      </c>
      <c r="E69">
        <v>141.72999999999999</v>
      </c>
      <c r="F69" t="s">
        <v>176</v>
      </c>
      <c r="G69" t="s">
        <v>45</v>
      </c>
      <c r="T69" t="b">
        <v>0</v>
      </c>
    </row>
    <row r="70">
      <c r="A70" t="s">
        <v>177</v>
      </c>
      <c r="B70">
        <v>0</v>
      </c>
      <c r="D70">
        <v>258.26999999999998</v>
      </c>
      <c r="E70">
        <v>348.87</v>
      </c>
      <c r="F70" t="s">
        <v>178</v>
      </c>
      <c r="G70" t="s">
        <v>45</v>
      </c>
      <c r="T70" t="b">
        <v>0</v>
      </c>
    </row>
    <row r="71">
      <c r="A71" t="s">
        <v>179</v>
      </c>
      <c r="B71">
        <v>0</v>
      </c>
      <c r="D71">
        <v>353.63999999999999</v>
      </c>
      <c r="E71">
        <v>553.72000000000003</v>
      </c>
      <c r="F71" t="s">
        <v>180</v>
      </c>
      <c r="G71" t="s">
        <v>31</v>
      </c>
      <c r="T71" t="b">
        <v>0</v>
      </c>
    </row>
    <row r="72">
      <c r="A72" t="s">
        <v>181</v>
      </c>
      <c r="B72">
        <v>0</v>
      </c>
      <c r="D72">
        <v>221.62</v>
      </c>
      <c r="E72">
        <v>370.19</v>
      </c>
      <c r="F72" t="s">
        <v>182</v>
      </c>
      <c r="G72" t="s">
        <v>31</v>
      </c>
      <c r="T72" t="b">
        <v>0</v>
      </c>
    </row>
    <row r="73">
      <c r="A73" t="s">
        <v>183</v>
      </c>
      <c r="B73">
        <v>0</v>
      </c>
      <c r="D73">
        <v>148.58000000000001</v>
      </c>
      <c r="E73">
        <v>370.19</v>
      </c>
      <c r="F73" t="s">
        <v>184</v>
      </c>
      <c r="G73" t="s">
        <v>31</v>
      </c>
      <c r="T73" t="b">
        <v>0</v>
      </c>
    </row>
    <row r="74">
      <c r="A74" t="s">
        <v>185</v>
      </c>
      <c r="B74">
        <v>0</v>
      </c>
      <c r="D74">
        <v>201.52000000000001</v>
      </c>
      <c r="E74">
        <v>356.04000000000002</v>
      </c>
      <c r="F74" t="s">
        <v>186</v>
      </c>
      <c r="G74" t="s">
        <v>34</v>
      </c>
      <c r="T74" t="b">
        <v>0</v>
      </c>
    </row>
    <row r="75">
      <c r="A75" t="s">
        <v>187</v>
      </c>
      <c r="B75">
        <v>0</v>
      </c>
      <c r="D75">
        <v>524.22000000000003</v>
      </c>
      <c r="E75">
        <v>555.74000000000001</v>
      </c>
      <c r="F75" t="s">
        <v>188</v>
      </c>
      <c r="G75" t="s">
        <v>107</v>
      </c>
      <c r="T75" t="b">
        <v>0</v>
      </c>
    </row>
    <row r="76">
      <c r="A76" t="s">
        <v>189</v>
      </c>
      <c r="B76">
        <v>0</v>
      </c>
      <c r="D76">
        <v>200.08000000000001</v>
      </c>
      <c r="E76">
        <v>553.72000000000003</v>
      </c>
      <c r="F76" t="s">
        <v>190</v>
      </c>
      <c r="G76" t="s">
        <v>31</v>
      </c>
      <c r="T76" t="b">
        <v>0</v>
      </c>
    </row>
    <row r="77">
      <c r="A77" t="s">
        <v>191</v>
      </c>
      <c r="B77">
        <v>0</v>
      </c>
      <c r="D77">
        <v>207.56999999999999</v>
      </c>
      <c r="E77">
        <v>496.16000000000003</v>
      </c>
      <c r="F77" t="s">
        <v>192</v>
      </c>
      <c r="G77" t="s">
        <v>31</v>
      </c>
      <c r="T77" t="b">
        <v>0</v>
      </c>
    </row>
    <row r="78">
      <c r="A78" t="s">
        <v>193</v>
      </c>
      <c r="B78">
        <v>0</v>
      </c>
      <c r="D78">
        <v>140.08000000000001</v>
      </c>
      <c r="E78">
        <v>491.30000000000001</v>
      </c>
      <c r="F78" t="s">
        <v>194</v>
      </c>
      <c r="G78" t="s">
        <v>195</v>
      </c>
      <c r="T78" t="b">
        <v>0</v>
      </c>
    </row>
    <row r="79">
      <c r="A79" t="s">
        <v>196</v>
      </c>
      <c r="B79">
        <v>0</v>
      </c>
      <c r="D79">
        <v>32.039999999999999</v>
      </c>
      <c r="E79">
        <v>371.42000000000002</v>
      </c>
      <c r="F79" t="s">
        <v>197</v>
      </c>
      <c r="G79" t="s">
        <v>58</v>
      </c>
      <c r="T79" t="b">
        <v>0</v>
      </c>
    </row>
    <row r="80">
      <c r="A80" t="s">
        <v>198</v>
      </c>
      <c r="B80">
        <v>1</v>
      </c>
      <c r="C80">
        <v>18</v>
      </c>
      <c r="D80">
        <v>0</v>
      </c>
      <c r="E80">
        <v>78.120000000000005</v>
      </c>
      <c r="F80" t="s">
        <v>199</v>
      </c>
      <c r="G80" t="s">
        <v>58</v>
      </c>
      <c r="H80">
        <v>150</v>
      </c>
      <c r="I80">
        <v>150</v>
      </c>
      <c r="J80">
        <v>182.8270032094984</v>
      </c>
      <c r="K80">
        <v>150</v>
      </c>
      <c r="L80">
        <v>25</v>
      </c>
      <c r="M80">
        <v>25</v>
      </c>
      <c r="N80">
        <v>18.08350418596785</v>
      </c>
      <c r="O80">
        <v>18.10041025390662</v>
      </c>
      <c r="P80">
        <v>0</v>
      </c>
      <c r="R80">
        <v>2035</v>
      </c>
      <c r="S80">
        <v>75.569300489592024</v>
      </c>
      <c r="T80" t="b">
        <v>0</v>
      </c>
      <c r="U80">
        <v>2</v>
      </c>
      <c r="V80">
        <v>0</v>
      </c>
      <c r="Y80">
        <v>0</v>
      </c>
      <c r="Z80">
        <v>24.830000000000009</v>
      </c>
      <c r="AA80">
        <v>0</v>
      </c>
      <c r="AB80">
        <v>25.826499999999999</v>
      </c>
      <c r="AC80">
        <v>26.413979320278909</v>
      </c>
    </row>
    <row r="81">
      <c r="A81" t="s">
        <v>200</v>
      </c>
      <c r="B81">
        <v>0</v>
      </c>
      <c r="D81">
        <v>85.120000000000005</v>
      </c>
      <c r="E81">
        <v>166.22999999999999</v>
      </c>
      <c r="F81" t="s">
        <v>201</v>
      </c>
      <c r="G81" t="s">
        <v>195</v>
      </c>
      <c r="T81" t="b">
        <v>0</v>
      </c>
    </row>
    <row r="82">
      <c r="A82" t="s">
        <v>202</v>
      </c>
      <c r="B82">
        <v>0</v>
      </c>
      <c r="D82">
        <v>351.04000000000002</v>
      </c>
      <c r="E82">
        <v>518.05999999999995</v>
      </c>
      <c r="F82" t="s">
        <v>203</v>
      </c>
      <c r="G82" t="s">
        <v>61</v>
      </c>
      <c r="T82" t="b">
        <v>0</v>
      </c>
    </row>
    <row r="83">
      <c r="A83" t="s">
        <v>204</v>
      </c>
      <c r="B83">
        <v>0</v>
      </c>
      <c r="D83">
        <v>11.06</v>
      </c>
      <c r="E83">
        <v>68.849999999999994</v>
      </c>
      <c r="F83" t="s">
        <v>205</v>
      </c>
      <c r="G83" t="s">
        <v>61</v>
      </c>
      <c r="T83" t="b">
        <v>0</v>
      </c>
    </row>
    <row r="84">
      <c r="A84" t="s">
        <v>206</v>
      </c>
      <c r="B84">
        <v>0</v>
      </c>
      <c r="D84">
        <v>75.019999999999996</v>
      </c>
      <c r="E84">
        <v>222.05000000000001</v>
      </c>
      <c r="F84" t="s">
        <v>207</v>
      </c>
      <c r="G84" t="s">
        <v>45</v>
      </c>
      <c r="T84" t="b">
        <v>0</v>
      </c>
    </row>
    <row r="85">
      <c r="A85" t="s">
        <v>208</v>
      </c>
      <c r="B85">
        <v>0</v>
      </c>
      <c r="D85">
        <v>303.66000000000003</v>
      </c>
      <c r="E85">
        <v>345.18000000000001</v>
      </c>
      <c r="F85" t="s">
        <v>209</v>
      </c>
      <c r="G85" t="s">
        <v>42</v>
      </c>
      <c r="T85" t="b">
        <v>0</v>
      </c>
    </row>
    <row r="86">
      <c r="A86" t="s">
        <v>210</v>
      </c>
      <c r="B86">
        <v>0</v>
      </c>
      <c r="D86">
        <v>154.52000000000001</v>
      </c>
      <c r="E86">
        <v>356.04000000000002</v>
      </c>
      <c r="F86" t="s">
        <v>211</v>
      </c>
      <c r="G86" t="s">
        <v>45</v>
      </c>
      <c r="T86" t="b">
        <v>0</v>
      </c>
    </row>
    <row r="87">
      <c r="A87" t="s">
        <v>212</v>
      </c>
      <c r="B87">
        <v>0</v>
      </c>
      <c r="D87">
        <v>116.65000000000001</v>
      </c>
      <c r="E87">
        <v>326.42000000000002</v>
      </c>
      <c r="F87" t="s">
        <v>213</v>
      </c>
      <c r="G87" t="s">
        <v>52</v>
      </c>
      <c r="T87" t="b">
        <v>0</v>
      </c>
    </row>
    <row r="88">
      <c r="A88" t="s">
        <v>214</v>
      </c>
      <c r="B88">
        <v>0</v>
      </c>
      <c r="D88">
        <v>164.63999999999999</v>
      </c>
      <c r="E88">
        <v>189.66</v>
      </c>
      <c r="F88" t="s">
        <v>215</v>
      </c>
      <c r="G88" t="s">
        <v>42</v>
      </c>
      <c r="T88" t="b">
        <v>0</v>
      </c>
    </row>
    <row r="89">
      <c r="A89" t="s">
        <v>216</v>
      </c>
      <c r="B89">
        <v>0</v>
      </c>
      <c r="D89">
        <v>290.25</v>
      </c>
      <c r="E89">
        <v>463.39999999999998</v>
      </c>
      <c r="F89" t="s">
        <v>217</v>
      </c>
      <c r="G89" t="s">
        <v>61</v>
      </c>
      <c r="T89" t="b">
        <v>0</v>
      </c>
    </row>
    <row r="90">
      <c r="A90" t="s">
        <v>218</v>
      </c>
      <c r="B90">
        <v>0</v>
      </c>
      <c r="D90">
        <v>129.19999999999999</v>
      </c>
      <c r="E90">
        <v>263.91000000000003</v>
      </c>
      <c r="F90" t="s">
        <v>219</v>
      </c>
      <c r="G90" t="s">
        <v>52</v>
      </c>
      <c r="T90" t="b">
        <v>0</v>
      </c>
    </row>
    <row r="91">
      <c r="A91" t="s">
        <v>220</v>
      </c>
      <c r="B91">
        <v>1</v>
      </c>
      <c r="C91">
        <v>22</v>
      </c>
      <c r="D91">
        <v>9.0099999999999998</v>
      </c>
      <c r="E91">
        <v>141.72999999999999</v>
      </c>
      <c r="F91" t="s">
        <v>221</v>
      </c>
      <c r="G91" t="s">
        <v>34</v>
      </c>
      <c r="H91">
        <v>150</v>
      </c>
      <c r="I91">
        <v>127.5971856482135</v>
      </c>
      <c r="J91">
        <v>128.0092056940465</v>
      </c>
      <c r="K91">
        <v>127.5971856482135</v>
      </c>
      <c r="L91">
        <v>25</v>
      </c>
      <c r="M91">
        <v>23.135810668191841</v>
      </c>
      <c r="N91">
        <v>15.08620296987864</v>
      </c>
      <c r="O91">
        <v>15.119394484405991</v>
      </c>
      <c r="P91">
        <v>1</v>
      </c>
      <c r="Q91">
        <v>2050</v>
      </c>
      <c r="R91">
        <v>2040</v>
      </c>
      <c r="S91">
        <v>110.53591113071001</v>
      </c>
      <c r="T91" t="b">
        <v>0</v>
      </c>
      <c r="U91">
        <v>2</v>
      </c>
      <c r="V91">
        <v>0</v>
      </c>
      <c r="W91">
        <v>50</v>
      </c>
      <c r="X91">
        <v>10</v>
      </c>
      <c r="Y91">
        <v>0</v>
      </c>
      <c r="Z91">
        <v>0</v>
      </c>
      <c r="AA91">
        <v>27.61000000000001</v>
      </c>
      <c r="AB91">
        <v>28.510000000000119</v>
      </c>
      <c r="AC91">
        <v>29.59</v>
      </c>
    </row>
    <row r="92">
      <c r="A92" t="s">
        <v>222</v>
      </c>
      <c r="B92">
        <v>1</v>
      </c>
      <c r="C92">
        <v>34</v>
      </c>
      <c r="D92">
        <v>183.25</v>
      </c>
      <c r="E92">
        <v>343.97000000000003</v>
      </c>
      <c r="F92" t="s">
        <v>223</v>
      </c>
      <c r="G92" t="s">
        <v>52</v>
      </c>
      <c r="H92">
        <v>178.0092056940465</v>
      </c>
      <c r="I92">
        <v>72.949937968121731</v>
      </c>
      <c r="J92">
        <v>195.23118136090579</v>
      </c>
      <c r="K92">
        <v>72.949937968121731</v>
      </c>
      <c r="L92">
        <v>25.086202969879292</v>
      </c>
      <c r="M92">
        <v>12.70264080635147</v>
      </c>
      <c r="N92">
        <v>22.22778295381169</v>
      </c>
      <c r="O92">
        <v>12.206166284916799</v>
      </c>
      <c r="P92">
        <v>1</v>
      </c>
      <c r="Q92">
        <v>2050</v>
      </c>
      <c r="R92">
        <v>2050</v>
      </c>
      <c r="S92">
        <v>244.00848204656</v>
      </c>
      <c r="T92" t="b">
        <v>0</v>
      </c>
      <c r="U92">
        <v>2</v>
      </c>
      <c r="V92">
        <v>0</v>
      </c>
      <c r="W92">
        <v>50</v>
      </c>
      <c r="X92">
        <v>10</v>
      </c>
      <c r="Y92">
        <v>0</v>
      </c>
      <c r="Z92">
        <v>0</v>
      </c>
      <c r="AA92">
        <v>0</v>
      </c>
      <c r="AB92">
        <v>0</v>
      </c>
      <c r="AC92">
        <v>0</v>
      </c>
    </row>
    <row r="93">
      <c r="A93" t="s">
        <v>224</v>
      </c>
      <c r="B93">
        <v>0</v>
      </c>
      <c r="D93">
        <v>160.72</v>
      </c>
      <c r="E93">
        <v>343.97000000000003</v>
      </c>
      <c r="F93" t="s">
        <v>225</v>
      </c>
      <c r="G93" t="s">
        <v>52</v>
      </c>
      <c r="T93" t="b">
        <v>0</v>
      </c>
    </row>
    <row r="94">
      <c r="A94" t="s">
        <v>226</v>
      </c>
      <c r="B94">
        <v>1</v>
      </c>
      <c r="C94">
        <v>6</v>
      </c>
      <c r="D94">
        <v>51.619999999999997</v>
      </c>
      <c r="E94">
        <v>151.34999999999999</v>
      </c>
      <c r="F94" t="s">
        <v>227</v>
      </c>
      <c r="G94" t="s">
        <v>58</v>
      </c>
      <c r="H94">
        <v>150</v>
      </c>
      <c r="I94">
        <v>77.837391724140218</v>
      </c>
      <c r="J94">
        <v>195.9687234414981</v>
      </c>
      <c r="K94">
        <v>77.837391724140218</v>
      </c>
      <c r="L94">
        <v>25</v>
      </c>
      <c r="M94">
        <v>12.53635906906468</v>
      </c>
      <c r="N94">
        <v>21.322885038091869</v>
      </c>
      <c r="O94">
        <v>11.054356557524089</v>
      </c>
      <c r="P94">
        <v>1</v>
      </c>
      <c r="Q94">
        <v>2035</v>
      </c>
      <c r="R94">
        <v>2035</v>
      </c>
      <c r="S94">
        <v>42.593961314999987</v>
      </c>
      <c r="T94" t="b">
        <v>0</v>
      </c>
      <c r="U94">
        <v>2</v>
      </c>
      <c r="V94">
        <v>0</v>
      </c>
      <c r="W94">
        <v>50</v>
      </c>
      <c r="X94">
        <v>10</v>
      </c>
      <c r="Y94">
        <v>0</v>
      </c>
      <c r="Z94">
        <v>2.3019999999999889</v>
      </c>
      <c r="AA94">
        <v>0</v>
      </c>
      <c r="AB94">
        <v>0</v>
      </c>
      <c r="AC94">
        <v>0</v>
      </c>
    </row>
    <row r="95">
      <c r="A95" t="s">
        <v>228</v>
      </c>
      <c r="B95">
        <v>0</v>
      </c>
      <c r="D95">
        <v>313.26999999999998</v>
      </c>
      <c r="E95">
        <v>447.88999999999999</v>
      </c>
      <c r="F95" t="s">
        <v>229</v>
      </c>
      <c r="G95" t="s">
        <v>31</v>
      </c>
      <c r="T95" t="b">
        <v>0</v>
      </c>
    </row>
    <row r="96">
      <c r="A96" t="s">
        <v>230</v>
      </c>
      <c r="B96">
        <v>0</v>
      </c>
      <c r="D96">
        <v>14.539999999999999</v>
      </c>
      <c r="E96">
        <v>80.230000000000004</v>
      </c>
      <c r="F96" t="s">
        <v>231</v>
      </c>
      <c r="G96" t="s">
        <v>45</v>
      </c>
      <c r="T96" t="b">
        <v>0</v>
      </c>
    </row>
    <row r="97">
      <c r="A97" t="s">
        <v>232</v>
      </c>
      <c r="B97">
        <v>0</v>
      </c>
      <c r="D97">
        <v>530.62</v>
      </c>
      <c r="E97">
        <v>562.63</v>
      </c>
      <c r="F97" t="s">
        <v>233</v>
      </c>
      <c r="G97" t="s">
        <v>107</v>
      </c>
      <c r="T97" t="b">
        <v>0</v>
      </c>
    </row>
    <row r="98">
      <c r="A98" t="s">
        <v>234</v>
      </c>
      <c r="B98">
        <v>0</v>
      </c>
      <c r="D98">
        <v>0</v>
      </c>
      <c r="E98">
        <v>135.33000000000001</v>
      </c>
      <c r="F98" t="s">
        <v>235</v>
      </c>
      <c r="G98" t="s">
        <v>107</v>
      </c>
    </row>
    <row r="99">
      <c r="A99" t="s">
        <v>236</v>
      </c>
      <c r="B99">
        <v>0</v>
      </c>
      <c r="D99">
        <v>0</v>
      </c>
      <c r="E99">
        <v>192.08000000000001</v>
      </c>
      <c r="F99" t="s">
        <v>237</v>
      </c>
      <c r="G99" t="s">
        <v>31</v>
      </c>
    </row>
    <row r="100">
      <c r="A100" t="s">
        <v>238</v>
      </c>
      <c r="B100">
        <v>0</v>
      </c>
      <c r="D100">
        <v>0</v>
      </c>
      <c r="E100">
        <v>161.78999999999999</v>
      </c>
      <c r="F100" t="s">
        <v>239</v>
      </c>
      <c r="G100" t="s">
        <v>31</v>
      </c>
    </row>
    <row r="101">
      <c r="A101" t="s">
        <v>240</v>
      </c>
      <c r="B101">
        <v>0</v>
      </c>
      <c r="D101">
        <v>0</v>
      </c>
      <c r="E101">
        <v>192.08000000000001</v>
      </c>
      <c r="F101" t="s">
        <v>241</v>
      </c>
      <c r="G101" t="s">
        <v>31</v>
      </c>
    </row>
    <row r="102">
      <c r="A102" t="s">
        <v>242</v>
      </c>
      <c r="B102">
        <v>1</v>
      </c>
      <c r="C102">
        <v>38</v>
      </c>
      <c r="D102">
        <v>0</v>
      </c>
      <c r="E102">
        <v>25.420000000000002</v>
      </c>
      <c r="F102" t="s">
        <v>243</v>
      </c>
      <c r="G102" t="s">
        <v>195</v>
      </c>
      <c r="H102">
        <v>238.75987100735929</v>
      </c>
      <c r="J102">
        <v>236.95987100735931</v>
      </c>
      <c r="K102">
        <v>236.95987100735931</v>
      </c>
      <c r="L102">
        <v>27.357528862538089</v>
      </c>
      <c r="N102">
        <v>15</v>
      </c>
      <c r="P102">
        <v>0</v>
      </c>
      <c r="R102">
        <v>2045</v>
      </c>
      <c r="S102">
        <v>50.548483440000012</v>
      </c>
      <c r="V102">
        <v>0</v>
      </c>
      <c r="Y102">
        <v>0</v>
      </c>
      <c r="Z102">
        <v>0</v>
      </c>
      <c r="AA102">
        <v>0</v>
      </c>
      <c r="AB102">
        <v>88.0053517885529</v>
      </c>
      <c r="AC102">
        <v>110.84999999999999</v>
      </c>
    </row>
    <row r="103">
      <c r="A103" t="s">
        <v>244</v>
      </c>
      <c r="B103">
        <v>1</v>
      </c>
      <c r="C103">
        <v>42</v>
      </c>
      <c r="D103">
        <v>0</v>
      </c>
      <c r="E103">
        <v>25.73</v>
      </c>
      <c r="F103" t="s">
        <v>245</v>
      </c>
      <c r="G103" t="s">
        <v>195</v>
      </c>
      <c r="H103">
        <v>153.46191091591521</v>
      </c>
      <c r="J103">
        <v>151.84191091591529</v>
      </c>
      <c r="K103">
        <v>151.84191091591521</v>
      </c>
      <c r="L103">
        <v>22.189588053825361</v>
      </c>
      <c r="N103">
        <v>15</v>
      </c>
      <c r="P103">
        <v>0</v>
      </c>
      <c r="R103">
        <v>2035</v>
      </c>
      <c r="S103">
        <v>98.422962059999989</v>
      </c>
      <c r="V103">
        <v>0</v>
      </c>
      <c r="Y103">
        <v>0</v>
      </c>
      <c r="Z103">
        <v>135.81999999999999</v>
      </c>
      <c r="AA103">
        <v>131.3300000000001</v>
      </c>
      <c r="AB103">
        <v>128.45999999999989</v>
      </c>
      <c r="AC103">
        <v>127.06999999999999</v>
      </c>
    </row>
    <row r="104">
      <c r="A104" t="s">
        <v>246</v>
      </c>
      <c r="B104">
        <v>0</v>
      </c>
      <c r="D104">
        <v>0</v>
      </c>
      <c r="E104">
        <v>25.420000000000002</v>
      </c>
      <c r="F104" t="s">
        <v>247</v>
      </c>
      <c r="G104" t="s">
        <v>82</v>
      </c>
    </row>
    <row r="105">
      <c r="A105" t="s">
        <v>248</v>
      </c>
      <c r="B105">
        <v>0</v>
      </c>
      <c r="D105">
        <v>0</v>
      </c>
      <c r="E105">
        <v>24.609999999999999</v>
      </c>
      <c r="F105" t="s">
        <v>249</v>
      </c>
      <c r="G105" t="s">
        <v>195</v>
      </c>
    </row>
    <row r="106">
      <c r="A106" t="s">
        <v>250</v>
      </c>
      <c r="B106">
        <v>0</v>
      </c>
      <c r="D106">
        <v>0</v>
      </c>
      <c r="E106">
        <v>161.78999999999999</v>
      </c>
      <c r="F106" t="s">
        <v>251</v>
      </c>
      <c r="G106" t="s">
        <v>31</v>
      </c>
    </row>
    <row r="107">
      <c r="A107" t="s">
        <v>252</v>
      </c>
      <c r="B107">
        <v>0</v>
      </c>
      <c r="D107">
        <v>0</v>
      </c>
      <c r="E107">
        <v>24.609999999999999</v>
      </c>
      <c r="F107" t="s">
        <v>253</v>
      </c>
      <c r="G107" t="s">
        <v>82</v>
      </c>
    </row>
    <row r="108">
      <c r="A108" t="s">
        <v>254</v>
      </c>
      <c r="B108">
        <v>0</v>
      </c>
      <c r="D108">
        <v>0</v>
      </c>
      <c r="E108">
        <v>25.73</v>
      </c>
      <c r="F108" t="s">
        <v>255</v>
      </c>
      <c r="G108" t="s">
        <v>82</v>
      </c>
    </row>
    <row r="109">
      <c r="A109" t="s">
        <v>256</v>
      </c>
      <c r="B109">
        <v>0</v>
      </c>
      <c r="D109">
        <v>0</v>
      </c>
      <c r="E109">
        <v>135.33000000000001</v>
      </c>
      <c r="F109" t="s">
        <v>257</v>
      </c>
      <c r="G109" t="s">
        <v>55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3654.1799999999998</v>
      </c>
      <c r="F3">
        <v>3522.8499999999999</v>
      </c>
      <c r="G3">
        <v>3394.3899999999999</v>
      </c>
      <c r="H3">
        <v>3267.3200000000002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2011.9946482114469</v>
      </c>
      <c r="H4">
        <v>1901.144648211447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4551.7320000000018</v>
      </c>
      <c r="E6">
        <v>4551.7320000000018</v>
      </c>
      <c r="F6">
        <v>4525.9320000000016</v>
      </c>
      <c r="G6">
        <v>4524.8385000000017</v>
      </c>
      <c r="H6">
        <v>4524.8385000000017</v>
      </c>
    </row>
    <row r="7">
      <c r="A7">
        <v>21</v>
      </c>
      <c r="B7">
        <v>1372.72</v>
      </c>
      <c r="C7">
        <v>1372.72</v>
      </c>
      <c r="D7">
        <v>1323.1700000000001</v>
      </c>
      <c r="E7">
        <v>1274.742</v>
      </c>
      <c r="F7">
        <v>1190.7220000000009</v>
      </c>
      <c r="G7">
        <v>1081.491351788555</v>
      </c>
      <c r="H7">
        <v>1007.232851788557</v>
      </c>
    </row>
    <row r="8">
      <c r="A8">
        <v>22</v>
      </c>
      <c r="B8">
        <v>2171.48</v>
      </c>
      <c r="C8">
        <v>2171.48</v>
      </c>
      <c r="D8">
        <v>2171.48</v>
      </c>
      <c r="E8">
        <v>2171.48</v>
      </c>
      <c r="F8">
        <v>2143.8699999999999</v>
      </c>
      <c r="G8">
        <v>2115.3600000000001</v>
      </c>
      <c r="H8">
        <v>2012.7299999999991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4603.7359999999999</v>
      </c>
      <c r="F9">
        <v>4543.2159999999994</v>
      </c>
      <c r="G9">
        <v>4479.2959999999975</v>
      </c>
      <c r="H9">
        <v>4411.6259999999966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75</v>
      </c>
      <c r="C2">
        <v>0</v>
      </c>
      <c r="D2">
        <v>0</v>
      </c>
      <c r="E2">
        <v>60.485999999999997</v>
      </c>
      <c r="F2">
        <v>74.209999999999994</v>
      </c>
      <c r="G2">
        <v>75</v>
      </c>
    </row>
    <row r="3">
      <c r="A3">
        <v>5</v>
      </c>
      <c r="B3">
        <v>37.5</v>
      </c>
      <c r="C3">
        <v>0</v>
      </c>
      <c r="D3">
        <v>24.830000000000009</v>
      </c>
      <c r="E3">
        <v>0</v>
      </c>
      <c r="F3">
        <v>25.826499999999999</v>
      </c>
      <c r="G3">
        <v>28.199999999999999</v>
      </c>
    </row>
    <row r="4">
      <c r="A4">
        <v>6</v>
      </c>
      <c r="B4">
        <v>37.5</v>
      </c>
      <c r="C4">
        <v>0</v>
      </c>
      <c r="D4">
        <v>2.3019999999999889</v>
      </c>
      <c r="E4">
        <v>0</v>
      </c>
      <c r="F4">
        <v>0</v>
      </c>
      <c r="G4">
        <v>37.172148211448587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5288.0388399998837</v>
      </c>
      <c r="C2">
        <v>13885.47342</v>
      </c>
      <c r="D2">
        <v>17114.625059999969</v>
      </c>
      <c r="E2">
        <v>17286.03223999996</v>
      </c>
      <c r="F2">
        <v>15714.521854374791</v>
      </c>
      <c r="G2">
        <v>69288.691414374596</v>
      </c>
    </row>
    <row r="3">
      <c r="A3" t="s">
        <v>276</v>
      </c>
      <c r="B3">
        <v>453.18139999998988</v>
      </c>
      <c r="C3">
        <v>1054.3075200000001</v>
      </c>
      <c r="D3">
        <v>1241.3856000000001</v>
      </c>
      <c r="E3">
        <v>1194.7755749999999</v>
      </c>
      <c r="F3">
        <v>1042.1535599999991</v>
      </c>
      <c r="G3">
        <v>4985.8036549999888</v>
      </c>
    </row>
    <row r="4">
      <c r="A4" t="s">
        <v>277</v>
      </c>
      <c r="B4">
        <v>592.73561450213037</v>
      </c>
      <c r="C4">
        <v>449.65764229625199</v>
      </c>
      <c r="D4">
        <v>403.07076430005992</v>
      </c>
      <c r="E4">
        <v>310.44074698728002</v>
      </c>
      <c r="F4">
        <v>484.29710272611197</v>
      </c>
      <c r="G4">
        <v>2240.2018708118339</v>
      </c>
    </row>
    <row r="5">
      <c r="A5" t="s">
        <v>278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279</v>
      </c>
      <c r="B6">
        <v>0</v>
      </c>
      <c r="C6">
        <v>98.422962059999989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4903.2587599999997</v>
      </c>
      <c r="C7">
        <v>9224.8657199999998</v>
      </c>
      <c r="D7">
        <v>5583.1100000000006</v>
      </c>
      <c r="E7">
        <v>2800.7361000000001</v>
      </c>
      <c r="F7">
        <v>1398.8620800000001</v>
      </c>
      <c r="G7">
        <v>23910.83266</v>
      </c>
    </row>
    <row r="8">
      <c r="A8" t="s">
        <v>281</v>
      </c>
      <c r="B8">
        <v>0</v>
      </c>
      <c r="C8">
        <v>8.1325707440545703</v>
      </c>
      <c r="D8">
        <v>115.78747189224831</v>
      </c>
      <c r="E8">
        <v>187.41272695205461</v>
      </c>
      <c r="F8">
        <v>281.81824563378871</v>
      </c>
      <c r="G8">
        <v>593.15101522214616</v>
      </c>
    </row>
    <row r="9">
      <c r="A9" t="s">
        <v>282</v>
      </c>
      <c r="B9">
        <v>77.055832440575983</v>
      </c>
      <c r="C9">
        <v>116.86416168384</v>
      </c>
      <c r="D9">
        <v>140.98238359675</v>
      </c>
      <c r="E9">
        <v>147.2218530605</v>
      </c>
      <c r="F9">
        <v>174.55374537249</v>
      </c>
      <c r="G9">
        <v>656.677976154156</v>
      </c>
    </row>
    <row r="10">
      <c r="A10" t="s">
        <v>283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132.44283999999999</v>
      </c>
      <c r="C12">
        <v>349.6284</v>
      </c>
      <c r="D12">
        <v>415.62</v>
      </c>
      <c r="E12">
        <v>390.54730000000012</v>
      </c>
      <c r="F12">
        <v>333.82173</v>
      </c>
      <c r="G12">
        <v>1622.0602699999999</v>
      </c>
    </row>
    <row r="13">
      <c r="A13" t="s">
        <v>286</v>
      </c>
      <c r="B13">
        <v>0</v>
      </c>
      <c r="C13">
        <v>0.20837694797108419</v>
      </c>
      <c r="D13">
        <v>3.1344588793397601</v>
      </c>
      <c r="E13">
        <v>7.2064509752944543</v>
      </c>
      <c r="F13">
        <v>12.686862536487119</v>
      </c>
      <c r="G13">
        <v>23.23614933909241</v>
      </c>
    </row>
    <row r="14">
      <c r="A14" t="s">
        <v>287</v>
      </c>
      <c r="B14">
        <v>785.56055199998264</v>
      </c>
      <c r="C14">
        <v>2063.0462579999999</v>
      </c>
      <c r="D14">
        <v>2542.833383999995</v>
      </c>
      <c r="E14">
        <v>2567.7209199999952</v>
      </c>
      <c r="F14">
        <v>2334.4442294965002</v>
      </c>
      <c r="G14">
        <v>10293.605343496471</v>
      </c>
    </row>
    <row r="15">
      <c r="A15" t="s">
        <v>288</v>
      </c>
      <c r="B15">
        <v>0</v>
      </c>
      <c r="C15">
        <v>1.6044939999999921</v>
      </c>
      <c r="D15">
        <v>16.769279999999501</v>
      </c>
      <c r="E15">
        <v>57.24639999999961</v>
      </c>
      <c r="F15">
        <v>81.924130674023857</v>
      </c>
      <c r="G15">
        <v>157.54430467402301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45540.571320000126</v>
      </c>
      <c r="C17">
        <v>25401.47148</v>
      </c>
      <c r="D17">
        <v>13469.31552</v>
      </c>
      <c r="E17">
        <v>7572.9696000000095</v>
      </c>
      <c r="F17">
        <v>1223.320047458546</v>
      </c>
      <c r="G17">
        <v>93207.647967458688</v>
      </c>
    </row>
    <row r="18">
      <c r="A18" t="s">
        <v>291</v>
      </c>
      <c r="B18">
        <v>-0</v>
      </c>
      <c r="C18">
        <v>-2148.0404400000002</v>
      </c>
      <c r="D18">
        <v>-3629.7648600000002</v>
      </c>
      <c r="E18">
        <v>-4550.6603849999992</v>
      </c>
      <c r="F18">
        <v>-4840.0316703307462</v>
      </c>
      <c r="G18">
        <v>-15168.49735533075</v>
      </c>
    </row>
    <row r="19">
      <c r="A19" t="s">
        <v>292</v>
      </c>
      <c r="B19">
        <v>57772.845158942699</v>
      </c>
      <c r="C19">
        <v>50518.437580132108</v>
      </c>
      <c r="D19">
        <v>37426.567728868358</v>
      </c>
      <c r="E19">
        <v>28036.120911215101</v>
      </c>
      <c r="F19">
        <v>18252.92544169199</v>
      </c>
      <c r="G19">
        <v>192006.89682085029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9.140625"/>
    <col customWidth="1" min="14" max="14" width="11.28125"/>
  </cols>
  <sheetData>
    <row r="1">
      <c r="A1" s="1" t="s">
        <v>0</v>
      </c>
      <c r="B1" s="1" t="s">
        <v>293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>
      <c r="A2" t="s">
        <v>29</v>
      </c>
      <c r="B2" s="2">
        <f>VLOOKUP(A2,PIPE!A:D,4,0)</f>
        <v>263.82999999999998</v>
      </c>
      <c r="C2">
        <v>0</v>
      </c>
      <c r="E2">
        <v>222.78</v>
      </c>
      <c r="F2">
        <v>263.82999999999998</v>
      </c>
      <c r="G2" t="s">
        <v>30</v>
      </c>
      <c r="H2" t="s">
        <v>31</v>
      </c>
      <c r="U2" t="b">
        <v>0</v>
      </c>
    </row>
    <row r="3">
      <c r="A3" t="s">
        <v>32</v>
      </c>
      <c r="B3" s="2">
        <f>VLOOKUP(A3,PIPE!A:D,4,0)</f>
        <v>369.45999999999998</v>
      </c>
      <c r="C3">
        <v>0</v>
      </c>
      <c r="E3">
        <v>64.079999999999998</v>
      </c>
      <c r="F3">
        <v>369.45999999999998</v>
      </c>
      <c r="G3" t="s">
        <v>33</v>
      </c>
      <c r="H3" t="s">
        <v>34</v>
      </c>
      <c r="U3" t="b">
        <v>0</v>
      </c>
    </row>
    <row r="4">
      <c r="A4" t="s">
        <v>35</v>
      </c>
      <c r="B4" s="2">
        <f>VLOOKUP(A4,PIPE!A:D,4,0)</f>
        <v>45.280000000000001</v>
      </c>
      <c r="C4">
        <v>1</v>
      </c>
      <c r="D4">
        <v>34</v>
      </c>
      <c r="E4">
        <v>8.0500000000000007</v>
      </c>
      <c r="F4">
        <v>45.280000000000001</v>
      </c>
      <c r="G4" t="s">
        <v>36</v>
      </c>
      <c r="H4" t="s">
        <v>37</v>
      </c>
      <c r="I4">
        <v>195.231181360905</v>
      </c>
      <c r="J4">
        <v>193.31484629270011</v>
      </c>
      <c r="K4">
        <v>203.54654985603219</v>
      </c>
      <c r="L4">
        <v>193.31484629270011</v>
      </c>
      <c r="M4">
        <v>22.227782953811499</v>
      </c>
      <c r="N4">
        <v>21.639465055042699</v>
      </c>
      <c r="O4">
        <v>20.017964709607451</v>
      </c>
      <c r="P4">
        <v>20.054899372224529</v>
      </c>
      <c r="Q4">
        <v>0</v>
      </c>
      <c r="S4">
        <v>2050</v>
      </c>
      <c r="T4">
        <v>31.602059395200001</v>
      </c>
      <c r="U4" t="b">
        <v>0</v>
      </c>
      <c r="V4">
        <v>2</v>
      </c>
      <c r="W4">
        <v>0</v>
      </c>
      <c r="Z4">
        <v>0</v>
      </c>
      <c r="AA4">
        <v>0</v>
      </c>
      <c r="AB4">
        <v>0</v>
      </c>
      <c r="AC4">
        <v>0</v>
      </c>
      <c r="AD4">
        <v>75</v>
      </c>
    </row>
    <row r="5">
      <c r="A5" t="s">
        <v>38</v>
      </c>
      <c r="B5" s="2">
        <f>VLOOKUP(A5,PIPE!A:D,4,0)</f>
        <v>179.47</v>
      </c>
      <c r="C5">
        <v>1</v>
      </c>
      <c r="D5">
        <v>42</v>
      </c>
      <c r="E5">
        <v>38.100000000000001</v>
      </c>
      <c r="F5">
        <v>179.47</v>
      </c>
      <c r="G5" t="s">
        <v>39</v>
      </c>
      <c r="H5" t="s">
        <v>34</v>
      </c>
      <c r="I5">
        <v>150</v>
      </c>
      <c r="J5">
        <v>104.5904604827637</v>
      </c>
      <c r="K5">
        <v>151.78504754763719</v>
      </c>
      <c r="L5">
        <v>104.5904604827637</v>
      </c>
      <c r="M5">
        <v>25</v>
      </c>
      <c r="N5">
        <v>21.240050901800029</v>
      </c>
      <c r="O5">
        <v>19.26951795991317</v>
      </c>
      <c r="P5">
        <v>19.26464852203285</v>
      </c>
      <c r="Q5">
        <v>0</v>
      </c>
      <c r="S5">
        <v>2030</v>
      </c>
      <c r="T5">
        <v>471.40957474247989</v>
      </c>
      <c r="U5" t="b">
        <v>0</v>
      </c>
      <c r="V5">
        <v>2</v>
      </c>
      <c r="W5">
        <v>0</v>
      </c>
      <c r="Z5">
        <v>49.549999999999997</v>
      </c>
      <c r="AA5">
        <v>50.673999999999921</v>
      </c>
      <c r="AB5">
        <v>52.259999999999998</v>
      </c>
      <c r="AC5">
        <v>54.119999999999997</v>
      </c>
      <c r="AD5">
        <v>56.32</v>
      </c>
    </row>
    <row r="6">
      <c r="A6" t="s">
        <v>40</v>
      </c>
      <c r="B6" s="2">
        <f>VLOOKUP(A6,PIPE!A:D,4,0)</f>
        <v>45.280000000000001</v>
      </c>
      <c r="C6">
        <v>0</v>
      </c>
      <c r="E6">
        <v>37.229999999999997</v>
      </c>
      <c r="F6">
        <v>45.280000000000001</v>
      </c>
      <c r="G6" t="s">
        <v>41</v>
      </c>
      <c r="H6" t="s">
        <v>42</v>
      </c>
      <c r="U6" t="b">
        <v>0</v>
      </c>
    </row>
    <row r="7">
      <c r="A7" t="s">
        <v>43</v>
      </c>
      <c r="B7" s="2">
        <f>VLOOKUP(A7,PIPE!A:D,4,0)</f>
        <v>179.47</v>
      </c>
      <c r="C7">
        <v>0</v>
      </c>
      <c r="E7">
        <v>141.37</v>
      </c>
      <c r="F7">
        <v>179.47</v>
      </c>
      <c r="G7" t="s">
        <v>44</v>
      </c>
      <c r="H7" t="s">
        <v>45</v>
      </c>
      <c r="U7" t="b">
        <v>0</v>
      </c>
    </row>
    <row r="8">
      <c r="A8" t="s">
        <v>46</v>
      </c>
      <c r="B8" s="2">
        <f>VLOOKUP(A8,PIPE!A:D,4,0)</f>
        <v>189.69</v>
      </c>
      <c r="C8">
        <v>0</v>
      </c>
      <c r="E8">
        <v>160.66</v>
      </c>
      <c r="F8">
        <v>189.69</v>
      </c>
      <c r="G8" t="s">
        <v>47</v>
      </c>
      <c r="H8" t="s">
        <v>45</v>
      </c>
      <c r="U8" t="b">
        <v>0</v>
      </c>
    </row>
    <row r="9">
      <c r="A9" t="s">
        <v>48</v>
      </c>
      <c r="B9" s="2">
        <f>VLOOKUP(A9,PIPE!A:D,4,0)</f>
        <v>369.45999999999998</v>
      </c>
      <c r="C9">
        <v>0</v>
      </c>
      <c r="E9">
        <v>305.38</v>
      </c>
      <c r="F9">
        <v>369.45999999999998</v>
      </c>
      <c r="G9" t="s">
        <v>49</v>
      </c>
      <c r="H9" t="s">
        <v>45</v>
      </c>
      <c r="U9" t="b">
        <v>0</v>
      </c>
    </row>
    <row r="10">
      <c r="A10" t="s">
        <v>50</v>
      </c>
      <c r="B10" s="2">
        <f>VLOOKUP(A10,PIPE!A:D,4,0)</f>
        <v>361.88</v>
      </c>
      <c r="C10">
        <v>0</v>
      </c>
      <c r="E10">
        <v>93.099999999999994</v>
      </c>
      <c r="F10">
        <v>361.88</v>
      </c>
      <c r="G10" t="s">
        <v>51</v>
      </c>
      <c r="H10" t="s">
        <v>52</v>
      </c>
      <c r="U10" t="b">
        <v>0</v>
      </c>
    </row>
    <row r="11">
      <c r="A11" t="s">
        <v>53</v>
      </c>
      <c r="B11" s="2">
        <f>VLOOKUP(A11,PIPE!A:D,4,0)</f>
        <v>336.49000000000001</v>
      </c>
      <c r="C11">
        <v>0</v>
      </c>
      <c r="E11">
        <v>295.43000000000001</v>
      </c>
      <c r="F11">
        <v>336.49000000000001</v>
      </c>
      <c r="G11" t="s">
        <v>54</v>
      </c>
      <c r="H11" t="s">
        <v>55</v>
      </c>
      <c r="U11" t="b">
        <v>0</v>
      </c>
    </row>
    <row r="12">
      <c r="A12" t="s">
        <v>56</v>
      </c>
      <c r="B12" s="2">
        <f>VLOOKUP(A12,PIPE!A:D,4,0)</f>
        <v>463.39999999999998</v>
      </c>
      <c r="C12">
        <v>0</v>
      </c>
      <c r="E12">
        <v>173.15000000000001</v>
      </c>
      <c r="F12">
        <v>463.39999999999998</v>
      </c>
      <c r="G12" t="s">
        <v>57</v>
      </c>
      <c r="H12" t="s">
        <v>58</v>
      </c>
      <c r="U12" t="b">
        <v>0</v>
      </c>
    </row>
    <row r="13">
      <c r="A13" t="s">
        <v>59</v>
      </c>
      <c r="B13" s="2">
        <f>VLOOKUP(A13,PIPE!A:D,4,0)</f>
        <v>151.34999999999999</v>
      </c>
      <c r="C13">
        <v>0</v>
      </c>
      <c r="E13">
        <v>99.730000000000004</v>
      </c>
      <c r="F13">
        <v>151.34999999999999</v>
      </c>
      <c r="G13" t="s">
        <v>60</v>
      </c>
      <c r="H13" t="s">
        <v>61</v>
      </c>
      <c r="U13" t="b">
        <v>0</v>
      </c>
    </row>
    <row r="14">
      <c r="A14" t="s">
        <v>62</v>
      </c>
      <c r="B14" s="2">
        <f>VLOOKUP(A14,PIPE!A:D,4,0)</f>
        <v>496.16000000000003</v>
      </c>
      <c r="C14">
        <v>0</v>
      </c>
      <c r="E14">
        <v>288.58999999999997</v>
      </c>
      <c r="F14">
        <v>496.16000000000003</v>
      </c>
      <c r="G14" t="s">
        <v>63</v>
      </c>
      <c r="H14" t="s">
        <v>31</v>
      </c>
      <c r="U14" t="b">
        <v>0</v>
      </c>
    </row>
    <row r="15">
      <c r="A15" t="s">
        <v>64</v>
      </c>
      <c r="B15" s="2">
        <f>VLOOKUP(A15,PIPE!A:D,4,0)</f>
        <v>189.66</v>
      </c>
      <c r="C15">
        <v>0</v>
      </c>
      <c r="E15">
        <v>25.02</v>
      </c>
      <c r="F15">
        <v>189.66</v>
      </c>
      <c r="G15" t="s">
        <v>65</v>
      </c>
      <c r="H15" t="s">
        <v>37</v>
      </c>
      <c r="U15" t="b">
        <v>0</v>
      </c>
    </row>
    <row r="16">
      <c r="A16" t="s">
        <v>66</v>
      </c>
      <c r="B16" s="2">
        <f>VLOOKUP(A16,PIPE!A:D,4,0)</f>
        <v>228.47999999999999</v>
      </c>
      <c r="C16">
        <v>0</v>
      </c>
      <c r="E16">
        <v>142.80000000000001</v>
      </c>
      <c r="F16">
        <v>228.47999999999999</v>
      </c>
      <c r="G16" t="s">
        <v>67</v>
      </c>
      <c r="H16" t="s">
        <v>45</v>
      </c>
      <c r="U16" t="b">
        <v>0</v>
      </c>
    </row>
    <row r="17">
      <c r="A17" t="s">
        <v>68</v>
      </c>
      <c r="B17" s="2">
        <f>VLOOKUP(A17,PIPE!A:D,4,0)</f>
        <v>561.50999999999999</v>
      </c>
      <c r="C17">
        <v>0</v>
      </c>
      <c r="E17">
        <v>332.5</v>
      </c>
      <c r="F17">
        <v>561.50999999999999</v>
      </c>
      <c r="G17" t="s">
        <v>69</v>
      </c>
      <c r="H17" t="s">
        <v>31</v>
      </c>
      <c r="U17" t="b">
        <v>0</v>
      </c>
    </row>
    <row r="18">
      <c r="A18" t="s">
        <v>70</v>
      </c>
      <c r="B18" s="2">
        <f>VLOOKUP(A18,PIPE!A:D,4,0)</f>
        <v>302.06</v>
      </c>
      <c r="C18">
        <v>0</v>
      </c>
      <c r="E18">
        <v>165.53</v>
      </c>
      <c r="F18">
        <v>302.06</v>
      </c>
      <c r="G18" t="s">
        <v>71</v>
      </c>
      <c r="H18" t="s">
        <v>55</v>
      </c>
      <c r="U18" t="b">
        <v>0</v>
      </c>
    </row>
    <row r="19">
      <c r="A19" t="s">
        <v>72</v>
      </c>
      <c r="B19" s="2">
        <f>VLOOKUP(A19,PIPE!A:D,4,0)</f>
        <v>189.69</v>
      </c>
      <c r="C19">
        <v>0</v>
      </c>
      <c r="E19">
        <v>29.030000000000001</v>
      </c>
      <c r="F19">
        <v>189.69</v>
      </c>
      <c r="G19" t="s">
        <v>73</v>
      </c>
      <c r="H19" t="s">
        <v>34</v>
      </c>
      <c r="U19" t="b">
        <v>0</v>
      </c>
    </row>
    <row r="20">
      <c r="A20" t="s">
        <v>74</v>
      </c>
      <c r="B20" s="2">
        <f>VLOOKUP(A20,PIPE!A:D,4,0)</f>
        <v>78.120000000000005</v>
      </c>
      <c r="C20">
        <v>0</v>
      </c>
      <c r="E20">
        <v>78.120000000000005</v>
      </c>
      <c r="F20">
        <v>78.120000000000005</v>
      </c>
      <c r="G20" t="s">
        <v>75</v>
      </c>
      <c r="H20" t="s">
        <v>61</v>
      </c>
      <c r="U20" t="b">
        <v>0</v>
      </c>
    </row>
    <row r="21">
      <c r="A21" t="s">
        <v>76</v>
      </c>
      <c r="B21" s="2">
        <f>VLOOKUP(A21,PIPE!A:D,4,0)</f>
        <v>447.88999999999999</v>
      </c>
      <c r="C21">
        <v>0</v>
      </c>
      <c r="E21">
        <v>134.62</v>
      </c>
      <c r="F21">
        <v>447.88999999999999</v>
      </c>
      <c r="G21" t="s">
        <v>77</v>
      </c>
      <c r="H21" t="s">
        <v>31</v>
      </c>
      <c r="U21" t="b">
        <v>0</v>
      </c>
    </row>
    <row r="22">
      <c r="A22" t="s">
        <v>78</v>
      </c>
      <c r="B22" s="2">
        <f>VLOOKUP(A22,PIPE!A:D,4,0)</f>
        <v>297.07999999999998</v>
      </c>
      <c r="C22">
        <v>1</v>
      </c>
      <c r="D22">
        <v>38</v>
      </c>
      <c r="E22">
        <v>186.05000000000001</v>
      </c>
      <c r="F22">
        <v>297.07999999999998</v>
      </c>
      <c r="G22" t="s">
        <v>79</v>
      </c>
      <c r="H22" t="s">
        <v>55</v>
      </c>
      <c r="I22">
        <v>150</v>
      </c>
      <c r="J22">
        <v>83.176682540918137</v>
      </c>
      <c r="K22">
        <v>238.75987100735821</v>
      </c>
      <c r="L22">
        <v>83.176682540918137</v>
      </c>
      <c r="M22">
        <v>25</v>
      </c>
      <c r="N22">
        <v>15.521725256131591</v>
      </c>
      <c r="O22">
        <v>27.357528862537919</v>
      </c>
      <c r="P22">
        <v>15.49390042686974</v>
      </c>
      <c r="Q22">
        <v>1</v>
      </c>
      <c r="R22">
        <v>2045</v>
      </c>
      <c r="S22">
        <v>2045</v>
      </c>
      <c r="T22">
        <v>310.44074698728002</v>
      </c>
      <c r="U22" t="b">
        <v>0</v>
      </c>
      <c r="V22">
        <v>2</v>
      </c>
      <c r="W22">
        <v>0</v>
      </c>
      <c r="X22">
        <v>50</v>
      </c>
      <c r="Y22">
        <v>10</v>
      </c>
      <c r="Z22">
        <v>0</v>
      </c>
      <c r="AA22">
        <v>0</v>
      </c>
      <c r="AB22">
        <v>0</v>
      </c>
      <c r="AC22">
        <v>107.3900000000009</v>
      </c>
      <c r="AD22">
        <v>110.84999999999999</v>
      </c>
    </row>
    <row r="23">
      <c r="A23" t="s">
        <v>80</v>
      </c>
      <c r="B23" s="2">
        <f>VLOOKUP(A23,PIPE!A:D,4,0)</f>
        <v>491.30000000000001</v>
      </c>
      <c r="C23">
        <v>0</v>
      </c>
      <c r="E23">
        <v>350.20999999999998</v>
      </c>
      <c r="F23">
        <v>491.30000000000001</v>
      </c>
      <c r="G23" t="s">
        <v>81</v>
      </c>
      <c r="H23" t="s">
        <v>82</v>
      </c>
      <c r="U23" t="b">
        <v>0</v>
      </c>
    </row>
    <row r="24">
      <c r="A24" t="s">
        <v>83</v>
      </c>
      <c r="B24" s="2">
        <f>VLOOKUP(A24,PIPE!A:D,4,0)</f>
        <v>561.50999999999999</v>
      </c>
      <c r="C24">
        <v>0</v>
      </c>
      <c r="E24">
        <v>229</v>
      </c>
      <c r="F24">
        <v>561.50999999999999</v>
      </c>
      <c r="G24" t="s">
        <v>84</v>
      </c>
      <c r="H24" t="s">
        <v>31</v>
      </c>
      <c r="U24" t="b">
        <v>0</v>
      </c>
    </row>
    <row r="25">
      <c r="A25" t="s">
        <v>85</v>
      </c>
      <c r="B25" s="2">
        <f>VLOOKUP(A25,PIPE!A:D,4,0)</f>
        <v>110.44</v>
      </c>
      <c r="C25">
        <v>1</v>
      </c>
      <c r="D25">
        <v>42</v>
      </c>
      <c r="E25">
        <v>12.050000000000001</v>
      </c>
      <c r="F25">
        <v>110.44</v>
      </c>
      <c r="G25" t="s">
        <v>86</v>
      </c>
      <c r="H25" t="s">
        <v>55</v>
      </c>
      <c r="I25">
        <v>150</v>
      </c>
      <c r="J25">
        <v>104.4567885677442</v>
      </c>
      <c r="K25">
        <v>153.4619109159151</v>
      </c>
      <c r="L25">
        <v>104.4567885677442</v>
      </c>
      <c r="M25">
        <v>25</v>
      </c>
      <c r="N25">
        <v>22.201490101073642</v>
      </c>
      <c r="O25">
        <v>22.189588053825378</v>
      </c>
      <c r="P25">
        <v>22.20675066979787</v>
      </c>
      <c r="Q25">
        <v>0</v>
      </c>
      <c r="S25">
        <v>2035</v>
      </c>
      <c r="T25">
        <v>216.29824905216</v>
      </c>
      <c r="U25" t="b">
        <v>0</v>
      </c>
      <c r="V25">
        <v>2</v>
      </c>
      <c r="W25">
        <v>0</v>
      </c>
      <c r="Z25">
        <v>0</v>
      </c>
      <c r="AA25">
        <v>135.82000000000011</v>
      </c>
      <c r="AB25">
        <v>131.3300000000001</v>
      </c>
      <c r="AC25">
        <v>75.969164778552695</v>
      </c>
      <c r="AD25">
        <v>71.959351788553533</v>
      </c>
    </row>
    <row r="26">
      <c r="A26" t="s">
        <v>87</v>
      </c>
      <c r="B26" s="2">
        <f>VLOOKUP(A26,PIPE!A:D,4,0)</f>
        <v>448.82999999999998</v>
      </c>
      <c r="C26">
        <v>1</v>
      </c>
      <c r="D26">
        <v>26</v>
      </c>
      <c r="E26">
        <v>328.74000000000001</v>
      </c>
      <c r="F26">
        <v>448.82999999999998</v>
      </c>
      <c r="G26" t="s">
        <v>88</v>
      </c>
      <c r="H26" t="s">
        <v>58</v>
      </c>
      <c r="I26">
        <v>150</v>
      </c>
      <c r="J26">
        <v>72.707485589742205</v>
      </c>
      <c r="K26">
        <v>165.0113463817911</v>
      </c>
      <c r="L26">
        <v>72.707485589742205</v>
      </c>
      <c r="M26">
        <v>25</v>
      </c>
      <c r="N26">
        <v>11.520583705855319</v>
      </c>
      <c r="O26">
        <v>22.149577519337502</v>
      </c>
      <c r="P26">
        <v>11.01168039290185</v>
      </c>
      <c r="Q26">
        <v>1</v>
      </c>
      <c r="R26">
        <v>2045</v>
      </c>
      <c r="S26">
        <v>2045</v>
      </c>
      <c r="T26">
        <v>313.88300560511999</v>
      </c>
      <c r="U26" t="b">
        <v>0</v>
      </c>
      <c r="V26">
        <v>2</v>
      </c>
      <c r="W26">
        <v>0</v>
      </c>
      <c r="X26">
        <v>50</v>
      </c>
      <c r="Y26">
        <v>10</v>
      </c>
      <c r="Z26">
        <v>0</v>
      </c>
      <c r="AA26">
        <v>0</v>
      </c>
      <c r="AB26">
        <v>0</v>
      </c>
      <c r="AC26">
        <v>52.490835221447313</v>
      </c>
      <c r="AD26">
        <v>55.11064821144646</v>
      </c>
    </row>
    <row r="27">
      <c r="A27" t="s">
        <v>89</v>
      </c>
      <c r="B27" s="2">
        <f>VLOOKUP(A27,PIPE!A:D,4,0)</f>
        <v>263.82999999999998</v>
      </c>
      <c r="C27">
        <v>0</v>
      </c>
      <c r="E27">
        <v>41.049999999999997</v>
      </c>
      <c r="F27">
        <v>263.82999999999998</v>
      </c>
      <c r="G27" t="s">
        <v>90</v>
      </c>
      <c r="H27" t="s">
        <v>31</v>
      </c>
      <c r="U27" t="b">
        <v>0</v>
      </c>
    </row>
    <row r="28">
      <c r="A28" t="s">
        <v>91</v>
      </c>
      <c r="B28" s="2">
        <f>VLOOKUP(A28,PIPE!A:D,4,0)</f>
        <v>245.06</v>
      </c>
      <c r="C28">
        <v>0</v>
      </c>
      <c r="E28">
        <v>222.05000000000001</v>
      </c>
      <c r="F28">
        <v>245.06</v>
      </c>
      <c r="G28" t="s">
        <v>92</v>
      </c>
      <c r="H28" t="s">
        <v>34</v>
      </c>
      <c r="U28" t="b">
        <v>0</v>
      </c>
    </row>
    <row r="29">
      <c r="A29" t="s">
        <v>93</v>
      </c>
      <c r="B29" s="2">
        <f>VLOOKUP(A29,PIPE!A:D,4,0)</f>
        <v>562.63</v>
      </c>
      <c r="C29">
        <v>0</v>
      </c>
      <c r="E29">
        <v>31.510000000000002</v>
      </c>
      <c r="F29">
        <v>562.63</v>
      </c>
      <c r="G29" t="s">
        <v>94</v>
      </c>
      <c r="H29" t="s">
        <v>55</v>
      </c>
      <c r="U29" t="b">
        <v>0</v>
      </c>
    </row>
    <row r="30">
      <c r="A30" t="s">
        <v>95</v>
      </c>
      <c r="B30" s="2">
        <f>VLOOKUP(A30,PIPE!A:D,4,0)</f>
        <v>326.42000000000002</v>
      </c>
      <c r="C30">
        <v>0</v>
      </c>
      <c r="E30">
        <v>209.77000000000001</v>
      </c>
      <c r="F30">
        <v>326.42000000000002</v>
      </c>
      <c r="G30" t="s">
        <v>96</v>
      </c>
      <c r="H30" t="s">
        <v>52</v>
      </c>
      <c r="U30" t="b">
        <v>0</v>
      </c>
    </row>
    <row r="31">
      <c r="A31" t="s">
        <v>97</v>
      </c>
      <c r="B31" s="2">
        <f>VLOOKUP(A31,PIPE!A:D,4,0)</f>
        <v>448.82999999999998</v>
      </c>
      <c r="C31">
        <v>0</v>
      </c>
      <c r="E31">
        <v>120.09</v>
      </c>
      <c r="F31">
        <v>448.82999999999998</v>
      </c>
      <c r="G31" t="s">
        <v>98</v>
      </c>
      <c r="H31" t="s">
        <v>61</v>
      </c>
      <c r="U31" t="b">
        <v>0</v>
      </c>
    </row>
    <row r="32">
      <c r="A32" t="s">
        <v>99</v>
      </c>
      <c r="B32" s="2">
        <f>VLOOKUP(A32,PIPE!A:D,4,0)</f>
        <v>147.41</v>
      </c>
      <c r="C32">
        <v>0</v>
      </c>
      <c r="E32">
        <v>85.739999999999995</v>
      </c>
      <c r="F32">
        <v>147.41</v>
      </c>
      <c r="G32" t="s">
        <v>100</v>
      </c>
      <c r="H32" t="s">
        <v>34</v>
      </c>
      <c r="U32" t="b">
        <v>0</v>
      </c>
    </row>
    <row r="33">
      <c r="A33" t="s">
        <v>101</v>
      </c>
      <c r="B33" s="2">
        <f>VLOOKUP(A33,PIPE!A:D,4,0)</f>
        <v>348.87</v>
      </c>
      <c r="C33">
        <v>0</v>
      </c>
      <c r="E33">
        <v>90.599999999999994</v>
      </c>
      <c r="F33">
        <v>348.87</v>
      </c>
      <c r="G33" t="s">
        <v>102</v>
      </c>
      <c r="H33" t="s">
        <v>34</v>
      </c>
      <c r="U33" t="b">
        <v>0</v>
      </c>
    </row>
    <row r="34">
      <c r="A34" t="s">
        <v>103</v>
      </c>
      <c r="B34" s="2">
        <f>VLOOKUP(A34,PIPE!A:D,4,0)</f>
        <v>100.59999999999999</v>
      </c>
      <c r="C34">
        <v>1</v>
      </c>
      <c r="D34">
        <v>18</v>
      </c>
      <c r="E34">
        <v>0</v>
      </c>
      <c r="F34">
        <v>100.59999999999999</v>
      </c>
      <c r="G34" t="s">
        <v>104</v>
      </c>
      <c r="H34" t="s">
        <v>34</v>
      </c>
      <c r="I34">
        <v>150</v>
      </c>
      <c r="J34">
        <v>150</v>
      </c>
      <c r="K34">
        <v>168.45240383376219</v>
      </c>
      <c r="L34">
        <v>150</v>
      </c>
      <c r="M34">
        <v>25</v>
      </c>
      <c r="N34">
        <v>25</v>
      </c>
      <c r="O34">
        <v>16.035812905989271</v>
      </c>
      <c r="P34">
        <v>16.078972943609589</v>
      </c>
      <c r="Q34">
        <v>1</v>
      </c>
      <c r="R34">
        <v>2050</v>
      </c>
      <c r="S34">
        <v>2030</v>
      </c>
      <c r="T34">
        <v>121.3260397596504</v>
      </c>
      <c r="U34" t="b">
        <v>0</v>
      </c>
      <c r="V34">
        <v>2</v>
      </c>
      <c r="W34">
        <v>0</v>
      </c>
      <c r="X34">
        <v>50</v>
      </c>
      <c r="Y34">
        <v>10</v>
      </c>
      <c r="Z34">
        <v>19.63799999999847</v>
      </c>
      <c r="AA34">
        <v>0</v>
      </c>
      <c r="AB34">
        <v>25.800000000000001</v>
      </c>
      <c r="AC34">
        <v>26.413979320278909</v>
      </c>
      <c r="AD34">
        <v>26.413979320278909</v>
      </c>
    </row>
    <row r="35">
      <c r="A35" t="s">
        <v>105</v>
      </c>
      <c r="B35" s="2">
        <f>VLOOKUP(A35,PIPE!A:D,4,0)</f>
        <v>297.07999999999998</v>
      </c>
      <c r="C35">
        <v>0</v>
      </c>
      <c r="E35">
        <v>109.53</v>
      </c>
      <c r="F35">
        <v>297.07999999999998</v>
      </c>
      <c r="G35" t="s">
        <v>106</v>
      </c>
      <c r="H35" t="s">
        <v>107</v>
      </c>
      <c r="U35" t="b">
        <v>0</v>
      </c>
    </row>
    <row r="36">
      <c r="A36" t="s">
        <v>108</v>
      </c>
      <c r="B36" s="2">
        <f>VLOOKUP(A36,PIPE!A:D,4,0)</f>
        <v>80.230000000000004</v>
      </c>
      <c r="C36">
        <v>1</v>
      </c>
      <c r="D36">
        <v>30</v>
      </c>
      <c r="E36">
        <v>65.689999999999998</v>
      </c>
      <c r="F36">
        <v>80.230000000000004</v>
      </c>
      <c r="G36" t="s">
        <v>109</v>
      </c>
      <c r="H36" t="s">
        <v>34</v>
      </c>
      <c r="I36">
        <v>150</v>
      </c>
      <c r="J36">
        <v>108.84972209357031</v>
      </c>
      <c r="K36">
        <v>142.61202987447379</v>
      </c>
      <c r="L36">
        <v>108.84972209357031</v>
      </c>
      <c r="M36">
        <v>25</v>
      </c>
      <c r="N36">
        <v>19.979066503117931</v>
      </c>
      <c r="O36">
        <v>20.615834690231029</v>
      </c>
      <c r="P36">
        <v>19.584347759664361</v>
      </c>
      <c r="Q36">
        <v>0</v>
      </c>
      <c r="S36">
        <v>2035</v>
      </c>
      <c r="T36">
        <v>115.19613143949999</v>
      </c>
      <c r="U36" t="b">
        <v>0</v>
      </c>
      <c r="V36">
        <v>2</v>
      </c>
      <c r="W36">
        <v>0</v>
      </c>
      <c r="Z36">
        <v>0</v>
      </c>
      <c r="AA36">
        <v>0</v>
      </c>
      <c r="AB36">
        <v>60.520000000000863</v>
      </c>
      <c r="AC36">
        <v>63.92000000000084</v>
      </c>
      <c r="AD36">
        <v>67.67000000000084</v>
      </c>
    </row>
    <row r="37">
      <c r="A37" t="s">
        <v>110</v>
      </c>
      <c r="B37" s="2">
        <f>VLOOKUP(A37,PIPE!A:D,4,0)</f>
        <v>263.91000000000003</v>
      </c>
      <c r="C37">
        <v>0</v>
      </c>
      <c r="E37">
        <v>134.71000000000001</v>
      </c>
      <c r="F37">
        <v>263.91000000000003</v>
      </c>
      <c r="G37" t="s">
        <v>111</v>
      </c>
      <c r="H37" t="s">
        <v>52</v>
      </c>
      <c r="U37" t="b">
        <v>0</v>
      </c>
    </row>
    <row r="38">
      <c r="A38" t="s">
        <v>112</v>
      </c>
      <c r="B38" s="2">
        <f>VLOOKUP(A38,PIPE!A:D,4,0)</f>
        <v>147.41</v>
      </c>
      <c r="C38">
        <v>0</v>
      </c>
      <c r="E38">
        <v>61.670000000000002</v>
      </c>
      <c r="F38">
        <v>147.41</v>
      </c>
      <c r="G38" t="s">
        <v>113</v>
      </c>
      <c r="H38" t="s">
        <v>45</v>
      </c>
      <c r="U38" t="b">
        <v>0</v>
      </c>
    </row>
    <row r="39">
      <c r="A39" t="s">
        <v>114</v>
      </c>
      <c r="B39" s="2">
        <f>VLOOKUP(A39,PIPE!A:D,4,0)</f>
        <v>243.08000000000001</v>
      </c>
      <c r="C39">
        <v>0</v>
      </c>
      <c r="E39">
        <v>199.06</v>
      </c>
      <c r="F39">
        <v>243.08000000000001</v>
      </c>
      <c r="G39" t="s">
        <v>115</v>
      </c>
      <c r="H39" t="s">
        <v>45</v>
      </c>
      <c r="U39" t="b">
        <v>0</v>
      </c>
    </row>
    <row r="40">
      <c r="A40" t="s">
        <v>116</v>
      </c>
      <c r="B40" s="2">
        <f>VLOOKUP(A40,PIPE!A:D,4,0)</f>
        <v>423.45999999999998</v>
      </c>
      <c r="C40">
        <v>0</v>
      </c>
      <c r="E40">
        <v>302.32999999999998</v>
      </c>
      <c r="F40">
        <v>423.45999999999998</v>
      </c>
      <c r="G40" t="s">
        <v>117</v>
      </c>
      <c r="H40" t="s">
        <v>118</v>
      </c>
      <c r="U40" t="b">
        <v>0</v>
      </c>
    </row>
    <row r="41">
      <c r="A41" t="s">
        <v>119</v>
      </c>
      <c r="B41" s="2">
        <f>VLOOKUP(A41,PIPE!A:D,4,0)</f>
        <v>518.05999999999995</v>
      </c>
      <c r="C41">
        <v>0</v>
      </c>
      <c r="E41">
        <v>167.02000000000001</v>
      </c>
      <c r="F41">
        <v>518.05999999999995</v>
      </c>
      <c r="G41" t="s">
        <v>120</v>
      </c>
      <c r="H41" t="s">
        <v>58</v>
      </c>
      <c r="U41" t="b">
        <v>0</v>
      </c>
    </row>
    <row r="42">
      <c r="A42" t="s">
        <v>121</v>
      </c>
      <c r="B42" s="2">
        <f>VLOOKUP(A42,PIPE!A:D,4,0)</f>
        <v>110.44</v>
      </c>
      <c r="C42">
        <v>0</v>
      </c>
      <c r="E42">
        <v>85.340000000000003</v>
      </c>
      <c r="F42">
        <v>110.44</v>
      </c>
      <c r="G42" t="s">
        <v>122</v>
      </c>
      <c r="H42" t="s">
        <v>107</v>
      </c>
      <c r="U42" t="b">
        <v>0</v>
      </c>
    </row>
    <row r="43">
      <c r="A43" t="s">
        <v>123</v>
      </c>
      <c r="B43" s="2">
        <f>VLOOKUP(A43,PIPE!A:D,4,0)</f>
        <v>233.52000000000001</v>
      </c>
      <c r="C43">
        <v>0</v>
      </c>
      <c r="E43">
        <v>4</v>
      </c>
      <c r="F43">
        <v>233.52000000000001</v>
      </c>
      <c r="G43" t="s">
        <v>124</v>
      </c>
      <c r="H43" t="s">
        <v>45</v>
      </c>
      <c r="U43" t="b">
        <v>0</v>
      </c>
    </row>
    <row r="44">
      <c r="A44" t="s">
        <v>125</v>
      </c>
      <c r="B44" s="2">
        <f>VLOOKUP(A44,PIPE!A:D,4,0)</f>
        <v>345.18000000000001</v>
      </c>
      <c r="C44">
        <v>0</v>
      </c>
      <c r="E44">
        <v>41.520000000000003</v>
      </c>
      <c r="F44">
        <v>345.18000000000001</v>
      </c>
      <c r="G44" t="s">
        <v>126</v>
      </c>
      <c r="H44" t="s">
        <v>37</v>
      </c>
      <c r="U44" t="b">
        <v>0</v>
      </c>
    </row>
    <row r="45">
      <c r="A45" t="s">
        <v>127</v>
      </c>
      <c r="B45" s="2">
        <f>VLOOKUP(A45,PIPE!A:D,4,0)</f>
        <v>325.82999999999998</v>
      </c>
      <c r="C45">
        <v>0</v>
      </c>
      <c r="E45">
        <v>248.75</v>
      </c>
      <c r="F45">
        <v>325.82999999999998</v>
      </c>
      <c r="G45" t="s">
        <v>128</v>
      </c>
      <c r="H45" t="s">
        <v>45</v>
      </c>
      <c r="U45" t="b">
        <v>0</v>
      </c>
    </row>
    <row r="46">
      <c r="A46" t="s">
        <v>129</v>
      </c>
      <c r="B46" s="2">
        <f>VLOOKUP(A46,PIPE!A:D,4,0)</f>
        <v>127.09999999999999</v>
      </c>
      <c r="C46">
        <v>1</v>
      </c>
      <c r="D46">
        <v>30</v>
      </c>
      <c r="E46">
        <v>42.530000000000001</v>
      </c>
      <c r="F46">
        <v>127.09999999999999</v>
      </c>
      <c r="G46" t="s">
        <v>130</v>
      </c>
      <c r="H46" t="s">
        <v>37</v>
      </c>
      <c r="I46">
        <v>136.22208115544359</v>
      </c>
      <c r="J46">
        <v>100.328645387712</v>
      </c>
      <c r="K46">
        <v>179.01287984977989</v>
      </c>
      <c r="L46">
        <v>100.328645387712</v>
      </c>
      <c r="M46">
        <v>23.78819766162184</v>
      </c>
      <c r="N46">
        <v>19.956304758135289</v>
      </c>
      <c r="O46">
        <v>19.662083163755931</v>
      </c>
      <c r="P46">
        <v>19.633161373460322</v>
      </c>
      <c r="Q46">
        <v>0</v>
      </c>
      <c r="S46">
        <v>2040</v>
      </c>
      <c r="T46">
        <v>145.23508418223599</v>
      </c>
      <c r="U46" t="b">
        <v>0</v>
      </c>
      <c r="V46">
        <v>2</v>
      </c>
      <c r="W46">
        <v>0</v>
      </c>
      <c r="Z46">
        <v>0</v>
      </c>
      <c r="AA46">
        <v>0</v>
      </c>
      <c r="AB46">
        <v>49.361999999999917</v>
      </c>
      <c r="AC46">
        <v>73.372164778552559</v>
      </c>
      <c r="AD46">
        <v>73.372164778552559</v>
      </c>
    </row>
    <row r="47">
      <c r="A47" t="s">
        <v>131</v>
      </c>
      <c r="B47" s="2">
        <f>VLOOKUP(A47,PIPE!A:D,4,0)</f>
        <v>347.61000000000001</v>
      </c>
      <c r="C47">
        <v>0</v>
      </c>
      <c r="E47">
        <v>261.07999999999998</v>
      </c>
      <c r="F47">
        <v>347.61000000000001</v>
      </c>
      <c r="G47" t="s">
        <v>132</v>
      </c>
      <c r="H47" t="s">
        <v>42</v>
      </c>
      <c r="U47" t="b">
        <v>0</v>
      </c>
    </row>
    <row r="48">
      <c r="A48" t="s">
        <v>133</v>
      </c>
      <c r="B48" s="2">
        <f>VLOOKUP(A48,PIPE!A:D,4,0)</f>
        <v>302.06</v>
      </c>
      <c r="C48">
        <v>0</v>
      </c>
      <c r="E48">
        <v>48.509999999999998</v>
      </c>
      <c r="F48">
        <v>302.06</v>
      </c>
      <c r="G48" t="s">
        <v>134</v>
      </c>
      <c r="H48" t="s">
        <v>107</v>
      </c>
      <c r="U48" t="b">
        <v>0</v>
      </c>
    </row>
    <row r="49">
      <c r="A49" t="s">
        <v>135</v>
      </c>
      <c r="B49" s="2">
        <f>VLOOKUP(A49,PIPE!A:D,4,0)</f>
        <v>222.05000000000001</v>
      </c>
      <c r="C49">
        <v>1</v>
      </c>
      <c r="D49">
        <v>26</v>
      </c>
      <c r="E49">
        <v>147.03</v>
      </c>
      <c r="F49">
        <v>222.05000000000001</v>
      </c>
      <c r="G49" t="s">
        <v>136</v>
      </c>
      <c r="H49" t="s">
        <v>34</v>
      </c>
      <c r="I49">
        <v>150</v>
      </c>
      <c r="J49">
        <v>68.230718278973612</v>
      </c>
      <c r="K49">
        <v>136.2220811554435</v>
      </c>
      <c r="L49">
        <v>68.230718278973612</v>
      </c>
      <c r="M49">
        <v>25</v>
      </c>
      <c r="N49">
        <v>14.39816335964983</v>
      </c>
      <c r="O49">
        <v>23.78819766162184</v>
      </c>
      <c r="P49">
        <v>13.253160153372139</v>
      </c>
      <c r="Q49">
        <v>1</v>
      </c>
      <c r="R49">
        <v>2040</v>
      </c>
      <c r="S49">
        <v>2040</v>
      </c>
      <c r="T49">
        <v>210.84234466969991</v>
      </c>
      <c r="U49" t="b">
        <v>0</v>
      </c>
      <c r="V49">
        <v>2</v>
      </c>
      <c r="W49">
        <v>0</v>
      </c>
      <c r="X49">
        <v>50</v>
      </c>
      <c r="Y49">
        <v>10</v>
      </c>
      <c r="Z49">
        <v>0</v>
      </c>
      <c r="AA49">
        <v>0</v>
      </c>
      <c r="AB49">
        <v>50.61799999999895</v>
      </c>
      <c r="AC49">
        <v>40.155020679718518</v>
      </c>
      <c r="AD49">
        <v>55.110648211446119</v>
      </c>
    </row>
    <row r="50">
      <c r="A50" t="s">
        <v>137</v>
      </c>
      <c r="B50" s="2">
        <f>VLOOKUP(A50,PIPE!A:D,4,0)</f>
        <v>233.52000000000001</v>
      </c>
      <c r="C50">
        <v>0</v>
      </c>
      <c r="E50">
        <v>229.52000000000001</v>
      </c>
      <c r="F50">
        <v>233.52000000000001</v>
      </c>
      <c r="G50" t="s">
        <v>138</v>
      </c>
      <c r="H50" t="s">
        <v>34</v>
      </c>
      <c r="U50" t="b">
        <v>0</v>
      </c>
    </row>
    <row r="51">
      <c r="A51" t="s">
        <v>139</v>
      </c>
      <c r="B51" s="2">
        <f>VLOOKUP(A51,PIPE!A:D,4,0)</f>
        <v>484.77999999999997</v>
      </c>
      <c r="C51">
        <v>0</v>
      </c>
      <c r="E51">
        <v>2.5</v>
      </c>
      <c r="F51">
        <v>484.77999999999997</v>
      </c>
      <c r="G51" t="s">
        <v>140</v>
      </c>
      <c r="H51" t="s">
        <v>45</v>
      </c>
      <c r="U51" t="b">
        <v>0</v>
      </c>
    </row>
    <row r="52">
      <c r="A52" t="s">
        <v>141</v>
      </c>
      <c r="B52" s="2">
        <f>VLOOKUP(A52,PIPE!A:D,4,0)</f>
        <v>336.49000000000001</v>
      </c>
      <c r="C52">
        <v>0</v>
      </c>
      <c r="E52">
        <v>40.560000000000002</v>
      </c>
      <c r="F52">
        <v>336.49000000000001</v>
      </c>
      <c r="G52" t="s">
        <v>142</v>
      </c>
      <c r="H52" t="s">
        <v>107</v>
      </c>
      <c r="U52" t="b">
        <v>0</v>
      </c>
    </row>
    <row r="53">
      <c r="A53" t="s">
        <v>143</v>
      </c>
      <c r="B53" s="2">
        <f>VLOOKUP(A53,PIPE!A:D,4,0)</f>
        <v>166.22999999999999</v>
      </c>
      <c r="C53">
        <v>0</v>
      </c>
      <c r="E53">
        <v>80.109999999999999</v>
      </c>
      <c r="F53">
        <v>166.22999999999999</v>
      </c>
      <c r="G53" t="s">
        <v>144</v>
      </c>
      <c r="H53" t="s">
        <v>82</v>
      </c>
      <c r="U53" t="b">
        <v>0</v>
      </c>
    </row>
    <row r="54">
      <c r="A54" t="s">
        <v>145</v>
      </c>
      <c r="B54" s="2">
        <f>VLOOKUP(A54,PIPE!A:D,4,0)</f>
        <v>228.47999999999999</v>
      </c>
      <c r="C54">
        <v>1</v>
      </c>
      <c r="D54">
        <v>30</v>
      </c>
      <c r="E54">
        <v>85.680000000000007</v>
      </c>
      <c r="F54">
        <v>228.47999999999999</v>
      </c>
      <c r="G54" t="s">
        <v>146</v>
      </c>
      <c r="H54" t="s">
        <v>34</v>
      </c>
      <c r="I54">
        <v>150</v>
      </c>
      <c r="J54">
        <v>87.351039791189024</v>
      </c>
      <c r="K54">
        <v>157.6675315344321</v>
      </c>
      <c r="L54">
        <v>87.351039791189024</v>
      </c>
      <c r="M54">
        <v>25</v>
      </c>
      <c r="N54">
        <v>18.302202390233798</v>
      </c>
      <c r="O54">
        <v>25.322260881596801</v>
      </c>
      <c r="P54">
        <v>15.34152481551364</v>
      </c>
      <c r="Q54">
        <v>1</v>
      </c>
      <c r="R54">
        <v>2050</v>
      </c>
      <c r="S54">
        <v>2050</v>
      </c>
      <c r="T54">
        <v>143.82851094527999</v>
      </c>
      <c r="U54" t="b">
        <v>0</v>
      </c>
      <c r="V54">
        <v>2</v>
      </c>
      <c r="W54">
        <v>0</v>
      </c>
      <c r="X54">
        <v>50</v>
      </c>
      <c r="Y54">
        <v>10</v>
      </c>
      <c r="Z54">
        <v>0</v>
      </c>
      <c r="AA54">
        <v>0</v>
      </c>
      <c r="AB54">
        <v>0</v>
      </c>
      <c r="AC54">
        <v>0</v>
      </c>
      <c r="AD54">
        <v>72.870185458272601</v>
      </c>
    </row>
    <row r="55">
      <c r="A55" t="s">
        <v>147</v>
      </c>
      <c r="B55" s="2">
        <f>VLOOKUP(A55,PIPE!A:D,4,0)</f>
        <v>130.69999999999999</v>
      </c>
      <c r="C55">
        <v>0</v>
      </c>
      <c r="E55">
        <v>55.079999999999998</v>
      </c>
      <c r="F55">
        <v>130.69999999999999</v>
      </c>
      <c r="G55" t="s">
        <v>148</v>
      </c>
      <c r="H55" t="s">
        <v>34</v>
      </c>
      <c r="U55" t="b">
        <v>0</v>
      </c>
    </row>
    <row r="56">
      <c r="A56" t="s">
        <v>149</v>
      </c>
      <c r="B56" s="2">
        <f>VLOOKUP(A56,PIPE!A:D,4,0)</f>
        <v>371.42000000000002</v>
      </c>
      <c r="C56">
        <v>0</v>
      </c>
      <c r="E56">
        <v>339.38999999999999</v>
      </c>
      <c r="F56">
        <v>371.42000000000002</v>
      </c>
      <c r="G56" t="s">
        <v>150</v>
      </c>
      <c r="H56" t="s">
        <v>61</v>
      </c>
      <c r="U56" t="b">
        <v>0</v>
      </c>
    </row>
    <row r="57">
      <c r="A57" t="s">
        <v>151</v>
      </c>
      <c r="B57" s="2">
        <f>VLOOKUP(A57,PIPE!A:D,4,0)</f>
        <v>68.849999999999994</v>
      </c>
      <c r="C57">
        <v>1</v>
      </c>
      <c r="D57">
        <v>34</v>
      </c>
      <c r="E57">
        <v>57.789999999999999</v>
      </c>
      <c r="F57">
        <v>68.849999999999994</v>
      </c>
      <c r="G57" t="s">
        <v>152</v>
      </c>
      <c r="H57" t="s">
        <v>58</v>
      </c>
      <c r="I57">
        <v>150</v>
      </c>
      <c r="J57">
        <v>137.4783621911773</v>
      </c>
      <c r="K57">
        <v>143.33677043686069</v>
      </c>
      <c r="L57">
        <v>137.4783621911773</v>
      </c>
      <c r="M57">
        <v>25</v>
      </c>
      <c r="N57">
        <v>21.998052829513199</v>
      </c>
      <c r="O57">
        <v>21.839455172588881</v>
      </c>
      <c r="P57">
        <v>21.759017174318629</v>
      </c>
      <c r="Q57">
        <v>0</v>
      </c>
      <c r="S57">
        <v>2035</v>
      </c>
      <c r="T57">
        <v>107.7733384344</v>
      </c>
      <c r="U57" t="b">
        <v>0</v>
      </c>
      <c r="V57">
        <v>2</v>
      </c>
      <c r="W57">
        <v>0</v>
      </c>
      <c r="Z57">
        <v>0</v>
      </c>
      <c r="AA57">
        <v>54.264000000000017</v>
      </c>
      <c r="AB57">
        <v>71.61000000000007</v>
      </c>
      <c r="AC57">
        <v>74.209999999999994</v>
      </c>
      <c r="AD57">
        <v>77.280000000000001</v>
      </c>
    </row>
    <row r="58">
      <c r="A58" t="s">
        <v>153</v>
      </c>
      <c r="B58" s="2">
        <f>VLOOKUP(A58,PIPE!A:D,4,0)</f>
        <v>555.74000000000001</v>
      </c>
      <c r="C58">
        <v>0</v>
      </c>
      <c r="E58">
        <v>30.510000000000002</v>
      </c>
      <c r="F58">
        <v>555.74000000000001</v>
      </c>
      <c r="G58" t="s">
        <v>154</v>
      </c>
      <c r="H58" t="s">
        <v>55</v>
      </c>
      <c r="U58" t="b">
        <v>0</v>
      </c>
    </row>
    <row r="59">
      <c r="A59" t="s">
        <v>155</v>
      </c>
      <c r="B59" s="2">
        <f>VLOOKUP(A59,PIPE!A:D,4,0)</f>
        <v>130.69999999999999</v>
      </c>
      <c r="C59">
        <v>0</v>
      </c>
      <c r="E59">
        <v>75.609999999999999</v>
      </c>
      <c r="F59">
        <v>130.69999999999999</v>
      </c>
      <c r="G59" t="s">
        <v>156</v>
      </c>
      <c r="H59" t="s">
        <v>45</v>
      </c>
      <c r="U59" t="b">
        <v>0</v>
      </c>
    </row>
    <row r="60">
      <c r="A60" t="s">
        <v>157</v>
      </c>
      <c r="B60" s="2">
        <f>VLOOKUP(A60,PIPE!A:D,4,0)</f>
        <v>423.45999999999998</v>
      </c>
      <c r="C60">
        <v>0</v>
      </c>
      <c r="E60">
        <v>121.13</v>
      </c>
      <c r="F60">
        <v>423.45999999999998</v>
      </c>
      <c r="G60" t="s">
        <v>158</v>
      </c>
      <c r="H60" t="s">
        <v>118</v>
      </c>
      <c r="U60" t="b">
        <v>0</v>
      </c>
    </row>
    <row r="61">
      <c r="A61" t="s">
        <v>159</v>
      </c>
      <c r="B61" s="2">
        <f>VLOOKUP(A61,PIPE!A:D,4,0)</f>
        <v>100.59999999999999</v>
      </c>
      <c r="C61">
        <v>0</v>
      </c>
      <c r="E61">
        <v>100.59999999999999</v>
      </c>
      <c r="F61">
        <v>100.59999999999999</v>
      </c>
      <c r="G61" t="s">
        <v>160</v>
      </c>
      <c r="H61" t="s">
        <v>45</v>
      </c>
      <c r="U61" t="b">
        <v>0</v>
      </c>
    </row>
    <row r="62">
      <c r="A62" t="s">
        <v>161</v>
      </c>
      <c r="B62" s="2">
        <f>VLOOKUP(A62,PIPE!A:D,4,0)</f>
        <v>243.08000000000001</v>
      </c>
      <c r="C62">
        <v>0</v>
      </c>
      <c r="E62">
        <v>44.009999999999998</v>
      </c>
      <c r="F62">
        <v>243.08000000000001</v>
      </c>
      <c r="G62" t="s">
        <v>162</v>
      </c>
      <c r="H62" t="s">
        <v>34</v>
      </c>
      <c r="U62" t="b">
        <v>0</v>
      </c>
    </row>
    <row r="63">
      <c r="A63" t="s">
        <v>163</v>
      </c>
      <c r="B63" s="2">
        <f>VLOOKUP(A63,PIPE!A:D,4,0)</f>
        <v>361.88</v>
      </c>
      <c r="C63">
        <v>0</v>
      </c>
      <c r="E63">
        <v>268.79000000000002</v>
      </c>
      <c r="F63">
        <v>361.88</v>
      </c>
      <c r="G63" t="s">
        <v>164</v>
      </c>
      <c r="H63" t="s">
        <v>52</v>
      </c>
      <c r="U63" t="b">
        <v>0</v>
      </c>
    </row>
    <row r="64">
      <c r="A64" t="s">
        <v>165</v>
      </c>
      <c r="B64" s="2">
        <f>VLOOKUP(A64,PIPE!A:D,4,0)</f>
        <v>347.61000000000001</v>
      </c>
      <c r="C64">
        <v>0</v>
      </c>
      <c r="E64">
        <v>86.530000000000001</v>
      </c>
      <c r="F64">
        <v>347.61000000000001</v>
      </c>
      <c r="G64" t="s">
        <v>166</v>
      </c>
      <c r="H64" t="s">
        <v>37</v>
      </c>
      <c r="U64" t="b">
        <v>0</v>
      </c>
    </row>
    <row r="65">
      <c r="A65" t="s">
        <v>167</v>
      </c>
      <c r="B65" s="2">
        <f>VLOOKUP(A65,PIPE!A:D,4,0)</f>
        <v>484.77999999999997</v>
      </c>
      <c r="C65">
        <v>0</v>
      </c>
      <c r="E65">
        <v>482.27999999999997</v>
      </c>
      <c r="F65">
        <v>484.77999999999997</v>
      </c>
      <c r="G65" t="s">
        <v>168</v>
      </c>
      <c r="H65" t="s">
        <v>34</v>
      </c>
      <c r="U65" t="b">
        <v>0</v>
      </c>
    </row>
    <row r="66">
      <c r="A66" t="s">
        <v>169</v>
      </c>
      <c r="B66" s="2">
        <f>VLOOKUP(A66,PIPE!A:D,4,0)</f>
        <v>245.06</v>
      </c>
      <c r="C66">
        <v>0</v>
      </c>
      <c r="E66">
        <v>23.010000000000002</v>
      </c>
      <c r="F66">
        <v>245.06</v>
      </c>
      <c r="G66" t="s">
        <v>170</v>
      </c>
      <c r="H66" t="s">
        <v>45</v>
      </c>
      <c r="U66" t="b">
        <v>0</v>
      </c>
    </row>
    <row r="67">
      <c r="A67" t="s">
        <v>171</v>
      </c>
      <c r="B67" s="2">
        <f>VLOOKUP(A67,PIPE!A:D,4,0)</f>
        <v>325.82999999999998</v>
      </c>
      <c r="C67">
        <v>0</v>
      </c>
      <c r="E67">
        <v>77.079999999999998</v>
      </c>
      <c r="F67">
        <v>325.82999999999998</v>
      </c>
      <c r="G67" t="s">
        <v>172</v>
      </c>
      <c r="H67" t="s">
        <v>34</v>
      </c>
      <c r="U67" t="b">
        <v>0</v>
      </c>
    </row>
    <row r="68">
      <c r="A68" t="s">
        <v>173</v>
      </c>
      <c r="B68" s="2">
        <f>VLOOKUP(A68,PIPE!A:D,4,0)</f>
        <v>127.09999999999999</v>
      </c>
      <c r="C68">
        <v>0</v>
      </c>
      <c r="E68">
        <v>84.569999999999993</v>
      </c>
      <c r="F68">
        <v>127.09999999999999</v>
      </c>
      <c r="G68" t="s">
        <v>174</v>
      </c>
      <c r="H68" t="s">
        <v>42</v>
      </c>
      <c r="U68" t="b">
        <v>0</v>
      </c>
    </row>
    <row r="69">
      <c r="A69" t="s">
        <v>175</v>
      </c>
      <c r="B69" s="2">
        <f>VLOOKUP(A69,PIPE!A:D,4,0)</f>
        <v>141.72999999999999</v>
      </c>
      <c r="C69">
        <v>0</v>
      </c>
      <c r="E69">
        <v>132.71000000000001</v>
      </c>
      <c r="F69">
        <v>141.72999999999999</v>
      </c>
      <c r="G69" t="s">
        <v>176</v>
      </c>
      <c r="H69" t="s">
        <v>45</v>
      </c>
      <c r="U69" t="b">
        <v>0</v>
      </c>
    </row>
    <row r="70">
      <c r="A70" t="s">
        <v>177</v>
      </c>
      <c r="B70" s="2">
        <f>VLOOKUP(A70,PIPE!A:D,4,0)</f>
        <v>348.87</v>
      </c>
      <c r="C70">
        <v>0</v>
      </c>
      <c r="E70">
        <v>258.26999999999998</v>
      </c>
      <c r="F70">
        <v>348.87</v>
      </c>
      <c r="G70" t="s">
        <v>178</v>
      </c>
      <c r="H70" t="s">
        <v>45</v>
      </c>
      <c r="U70" t="b">
        <v>0</v>
      </c>
    </row>
    <row r="71">
      <c r="A71" t="s">
        <v>179</v>
      </c>
      <c r="B71" s="2">
        <f>VLOOKUP(A71,PIPE!A:D,4,0)</f>
        <v>553.72000000000003</v>
      </c>
      <c r="C71">
        <v>0</v>
      </c>
      <c r="E71">
        <v>353.63999999999999</v>
      </c>
      <c r="F71">
        <v>553.72000000000003</v>
      </c>
      <c r="G71" t="s">
        <v>180</v>
      </c>
      <c r="H71" t="s">
        <v>31</v>
      </c>
      <c r="U71" t="b">
        <v>0</v>
      </c>
    </row>
    <row r="72">
      <c r="A72" t="s">
        <v>181</v>
      </c>
      <c r="B72" s="2">
        <f>VLOOKUP(A72,PIPE!A:D,4,0)</f>
        <v>370.19</v>
      </c>
      <c r="C72">
        <v>0</v>
      </c>
      <c r="E72">
        <v>221.62</v>
      </c>
      <c r="F72">
        <v>370.19</v>
      </c>
      <c r="G72" t="s">
        <v>182</v>
      </c>
      <c r="H72" t="s">
        <v>31</v>
      </c>
      <c r="U72" t="b">
        <v>0</v>
      </c>
    </row>
    <row r="73">
      <c r="A73" t="s">
        <v>183</v>
      </c>
      <c r="B73" s="2">
        <f>VLOOKUP(A73,PIPE!A:D,4,0)</f>
        <v>370.19</v>
      </c>
      <c r="C73">
        <v>0</v>
      </c>
      <c r="E73">
        <v>148.58000000000001</v>
      </c>
      <c r="F73">
        <v>370.19</v>
      </c>
      <c r="G73" t="s">
        <v>184</v>
      </c>
      <c r="H73" t="s">
        <v>31</v>
      </c>
      <c r="U73" t="b">
        <v>0</v>
      </c>
    </row>
    <row r="74">
      <c r="A74" t="s">
        <v>185</v>
      </c>
      <c r="B74" s="2">
        <f>VLOOKUP(A74,PIPE!A:D,4,0)</f>
        <v>356.04000000000002</v>
      </c>
      <c r="C74">
        <v>0</v>
      </c>
      <c r="E74">
        <v>201.52000000000001</v>
      </c>
      <c r="F74">
        <v>356.04000000000002</v>
      </c>
      <c r="G74" t="s">
        <v>186</v>
      </c>
      <c r="H74" t="s">
        <v>34</v>
      </c>
      <c r="U74" t="b">
        <v>0</v>
      </c>
    </row>
    <row r="75">
      <c r="A75" t="s">
        <v>187</v>
      </c>
      <c r="B75" s="2">
        <f>VLOOKUP(A75,PIPE!A:D,4,0)</f>
        <v>555.74000000000001</v>
      </c>
      <c r="C75">
        <v>0</v>
      </c>
      <c r="E75">
        <v>524.22000000000003</v>
      </c>
      <c r="F75">
        <v>555.74000000000001</v>
      </c>
      <c r="G75" t="s">
        <v>188</v>
      </c>
      <c r="H75" t="s">
        <v>107</v>
      </c>
      <c r="U75" t="b">
        <v>0</v>
      </c>
    </row>
    <row r="76">
      <c r="A76" t="s">
        <v>189</v>
      </c>
      <c r="B76" s="2">
        <f>VLOOKUP(A76,PIPE!A:D,4,0)</f>
        <v>553.72000000000003</v>
      </c>
      <c r="C76">
        <v>0</v>
      </c>
      <c r="E76">
        <v>200.08000000000001</v>
      </c>
      <c r="F76">
        <v>553.72000000000003</v>
      </c>
      <c r="G76" t="s">
        <v>190</v>
      </c>
      <c r="H76" t="s">
        <v>31</v>
      </c>
      <c r="U76" t="b">
        <v>0</v>
      </c>
    </row>
    <row r="77">
      <c r="A77" t="s">
        <v>191</v>
      </c>
      <c r="B77" s="2">
        <f>VLOOKUP(A77,PIPE!A:D,4,0)</f>
        <v>496.16000000000003</v>
      </c>
      <c r="C77">
        <v>0</v>
      </c>
      <c r="E77">
        <v>207.56999999999999</v>
      </c>
      <c r="F77">
        <v>496.16000000000003</v>
      </c>
      <c r="G77" t="s">
        <v>192</v>
      </c>
      <c r="H77" t="s">
        <v>31</v>
      </c>
      <c r="U77" t="b">
        <v>0</v>
      </c>
    </row>
    <row r="78">
      <c r="A78" t="s">
        <v>193</v>
      </c>
      <c r="B78" s="2">
        <f>VLOOKUP(A78,PIPE!A:D,4,0)</f>
        <v>491.30000000000001</v>
      </c>
      <c r="C78">
        <v>0</v>
      </c>
      <c r="E78">
        <v>140.08000000000001</v>
      </c>
      <c r="F78">
        <v>491.30000000000001</v>
      </c>
      <c r="G78" t="s">
        <v>194</v>
      </c>
      <c r="H78" t="s">
        <v>195</v>
      </c>
      <c r="U78" t="b">
        <v>0</v>
      </c>
    </row>
    <row r="79">
      <c r="A79" t="s">
        <v>196</v>
      </c>
      <c r="B79" s="2">
        <f>VLOOKUP(A79,PIPE!A:D,4,0)</f>
        <v>371.42000000000002</v>
      </c>
      <c r="C79">
        <v>0</v>
      </c>
      <c r="E79">
        <v>32.039999999999999</v>
      </c>
      <c r="F79">
        <v>371.42000000000002</v>
      </c>
      <c r="G79" t="s">
        <v>197</v>
      </c>
      <c r="H79" t="s">
        <v>58</v>
      </c>
      <c r="U79" t="b">
        <v>0</v>
      </c>
    </row>
    <row r="80">
      <c r="A80" t="s">
        <v>198</v>
      </c>
      <c r="B80" s="2">
        <f>VLOOKUP(A80,PIPE!A:D,4,0)</f>
        <v>78.120000000000005</v>
      </c>
      <c r="C80">
        <v>0</v>
      </c>
      <c r="E80">
        <v>0</v>
      </c>
      <c r="F80">
        <v>78.120000000000005</v>
      </c>
      <c r="G80" t="s">
        <v>199</v>
      </c>
      <c r="H80" t="s">
        <v>58</v>
      </c>
      <c r="U80" t="b">
        <v>0</v>
      </c>
    </row>
    <row r="81">
      <c r="A81" t="s">
        <v>200</v>
      </c>
      <c r="B81" s="2">
        <f>VLOOKUP(A81,PIPE!A:D,4,0)</f>
        <v>166.22999999999999</v>
      </c>
      <c r="C81">
        <v>0</v>
      </c>
      <c r="E81">
        <v>85.120000000000005</v>
      </c>
      <c r="F81">
        <v>166.22999999999999</v>
      </c>
      <c r="G81" t="s">
        <v>201</v>
      </c>
      <c r="H81" t="s">
        <v>195</v>
      </c>
      <c r="U81" t="b">
        <v>0</v>
      </c>
    </row>
    <row r="82">
      <c r="A82" t="s">
        <v>202</v>
      </c>
      <c r="B82" s="2">
        <f>VLOOKUP(A82,PIPE!A:D,4,0)</f>
        <v>518.05999999999995</v>
      </c>
      <c r="C82">
        <v>0</v>
      </c>
      <c r="E82">
        <v>351.04000000000002</v>
      </c>
      <c r="F82">
        <v>518.05999999999995</v>
      </c>
      <c r="G82" t="s">
        <v>203</v>
      </c>
      <c r="H82" t="s">
        <v>61</v>
      </c>
      <c r="U82" t="b">
        <v>0</v>
      </c>
    </row>
    <row r="83">
      <c r="A83" t="s">
        <v>204</v>
      </c>
      <c r="B83" s="2">
        <f>VLOOKUP(A83,PIPE!A:D,4,0)</f>
        <v>68.849999999999994</v>
      </c>
      <c r="C83">
        <v>0</v>
      </c>
      <c r="E83">
        <v>11.06</v>
      </c>
      <c r="F83">
        <v>68.849999999999994</v>
      </c>
      <c r="G83" t="s">
        <v>205</v>
      </c>
      <c r="H83" t="s">
        <v>61</v>
      </c>
      <c r="U83" t="b">
        <v>0</v>
      </c>
    </row>
    <row r="84">
      <c r="A84" t="s">
        <v>206</v>
      </c>
      <c r="B84" s="2">
        <f>VLOOKUP(A84,PIPE!A:D,4,0)</f>
        <v>222.05000000000001</v>
      </c>
      <c r="C84">
        <v>0</v>
      </c>
      <c r="E84">
        <v>75.019999999999996</v>
      </c>
      <c r="F84">
        <v>222.05000000000001</v>
      </c>
      <c r="G84" t="s">
        <v>207</v>
      </c>
      <c r="H84" t="s">
        <v>45</v>
      </c>
      <c r="U84" t="b">
        <v>0</v>
      </c>
    </row>
    <row r="85">
      <c r="A85" t="s">
        <v>208</v>
      </c>
      <c r="B85" s="2">
        <f>VLOOKUP(A85,PIPE!A:D,4,0)</f>
        <v>345.18000000000001</v>
      </c>
      <c r="C85">
        <v>0</v>
      </c>
      <c r="E85">
        <v>303.66000000000003</v>
      </c>
      <c r="F85">
        <v>345.18000000000001</v>
      </c>
      <c r="G85" t="s">
        <v>209</v>
      </c>
      <c r="H85" t="s">
        <v>42</v>
      </c>
      <c r="U85" t="b">
        <v>0</v>
      </c>
    </row>
    <row r="86">
      <c r="A86" t="s">
        <v>210</v>
      </c>
      <c r="B86" s="2">
        <f>VLOOKUP(A86,PIPE!A:D,4,0)</f>
        <v>356.04000000000002</v>
      </c>
      <c r="C86">
        <v>0</v>
      </c>
      <c r="E86">
        <v>154.52000000000001</v>
      </c>
      <c r="F86">
        <v>356.04000000000002</v>
      </c>
      <c r="G86" t="s">
        <v>211</v>
      </c>
      <c r="H86" t="s">
        <v>45</v>
      </c>
      <c r="U86" t="b">
        <v>0</v>
      </c>
    </row>
    <row r="87">
      <c r="A87" t="s">
        <v>212</v>
      </c>
      <c r="B87" s="2">
        <f>VLOOKUP(A87,PIPE!A:D,4,0)</f>
        <v>326.42000000000002</v>
      </c>
      <c r="C87">
        <v>0</v>
      </c>
      <c r="E87">
        <v>116.65000000000001</v>
      </c>
      <c r="F87">
        <v>326.42000000000002</v>
      </c>
      <c r="G87" t="s">
        <v>213</v>
      </c>
      <c r="H87" t="s">
        <v>52</v>
      </c>
      <c r="U87" t="b">
        <v>0</v>
      </c>
    </row>
    <row r="88">
      <c r="A88" t="s">
        <v>214</v>
      </c>
      <c r="B88" s="2">
        <f>VLOOKUP(A88,PIPE!A:D,4,0)</f>
        <v>189.66</v>
      </c>
      <c r="C88">
        <v>0</v>
      </c>
      <c r="E88">
        <v>164.63999999999999</v>
      </c>
      <c r="F88">
        <v>189.66</v>
      </c>
      <c r="G88" t="s">
        <v>215</v>
      </c>
      <c r="H88" t="s">
        <v>42</v>
      </c>
      <c r="U88" t="b">
        <v>0</v>
      </c>
    </row>
    <row r="89">
      <c r="A89" t="s">
        <v>216</v>
      </c>
      <c r="B89" s="2">
        <f>VLOOKUP(A89,PIPE!A:D,4,0)</f>
        <v>463.39999999999998</v>
      </c>
      <c r="C89">
        <v>0</v>
      </c>
      <c r="E89">
        <v>290.25</v>
      </c>
      <c r="F89">
        <v>463.39999999999998</v>
      </c>
      <c r="G89" t="s">
        <v>217</v>
      </c>
      <c r="H89" t="s">
        <v>61</v>
      </c>
      <c r="U89" t="b">
        <v>0</v>
      </c>
    </row>
    <row r="90">
      <c r="A90" t="s">
        <v>218</v>
      </c>
      <c r="B90" s="2">
        <f>VLOOKUP(A90,PIPE!A:D,4,0)</f>
        <v>263.91000000000003</v>
      </c>
      <c r="C90">
        <v>0</v>
      </c>
      <c r="E90">
        <v>129.19999999999999</v>
      </c>
      <c r="F90">
        <v>263.91000000000003</v>
      </c>
      <c r="G90" t="s">
        <v>219</v>
      </c>
      <c r="H90" t="s">
        <v>52</v>
      </c>
      <c r="U90" t="b">
        <v>0</v>
      </c>
    </row>
    <row r="91">
      <c r="A91" t="s">
        <v>220</v>
      </c>
      <c r="B91" s="2">
        <f>VLOOKUP(A91,PIPE!A:D,4,0)</f>
        <v>141.72999999999999</v>
      </c>
      <c r="C91">
        <v>1</v>
      </c>
      <c r="D91">
        <v>22</v>
      </c>
      <c r="E91">
        <v>9.0099999999999998</v>
      </c>
      <c r="F91">
        <v>141.72999999999999</v>
      </c>
      <c r="G91" t="s">
        <v>221</v>
      </c>
      <c r="H91" t="s">
        <v>34</v>
      </c>
      <c r="I91">
        <v>150</v>
      </c>
      <c r="J91">
        <v>127.5971856482135</v>
      </c>
      <c r="K91">
        <v>128.0092056940465</v>
      </c>
      <c r="L91">
        <v>127.5971856482135</v>
      </c>
      <c r="M91">
        <v>25</v>
      </c>
      <c r="N91">
        <v>23.135810668191841</v>
      </c>
      <c r="O91">
        <v>15.08620296987864</v>
      </c>
      <c r="P91">
        <v>15.119394484405991</v>
      </c>
      <c r="Q91">
        <v>1</v>
      </c>
      <c r="R91">
        <v>2050</v>
      </c>
      <c r="S91">
        <v>2040</v>
      </c>
      <c r="T91">
        <v>110.53591113071001</v>
      </c>
      <c r="U91" t="b">
        <v>0</v>
      </c>
      <c r="V91">
        <v>2</v>
      </c>
      <c r="W91">
        <v>0</v>
      </c>
      <c r="X91">
        <v>50</v>
      </c>
      <c r="Y91">
        <v>10</v>
      </c>
      <c r="Z91">
        <v>0</v>
      </c>
      <c r="AA91">
        <v>0</v>
      </c>
      <c r="AB91">
        <v>0</v>
      </c>
      <c r="AC91">
        <v>28.510000000000119</v>
      </c>
      <c r="AD91">
        <v>29.59</v>
      </c>
    </row>
    <row r="92">
      <c r="A92" t="s">
        <v>222</v>
      </c>
      <c r="B92" s="2">
        <f>VLOOKUP(A92,PIPE!A:D,4,0)</f>
        <v>343.97000000000003</v>
      </c>
      <c r="C92">
        <v>1</v>
      </c>
      <c r="D92">
        <v>34</v>
      </c>
      <c r="E92">
        <v>183.25</v>
      </c>
      <c r="F92">
        <v>343.97000000000003</v>
      </c>
      <c r="G92" t="s">
        <v>223</v>
      </c>
      <c r="H92" t="s">
        <v>52</v>
      </c>
      <c r="I92">
        <v>178.0092056940465</v>
      </c>
      <c r="J92">
        <v>72.949937968121731</v>
      </c>
      <c r="K92">
        <v>195.23118136090579</v>
      </c>
      <c r="L92">
        <v>72.949937968121731</v>
      </c>
      <c r="M92">
        <v>25.08620296987916</v>
      </c>
      <c r="N92">
        <v>12.70264080635134</v>
      </c>
      <c r="O92">
        <v>22.227782953811559</v>
      </c>
      <c r="P92">
        <v>12.206166284916669</v>
      </c>
      <c r="Q92">
        <v>1</v>
      </c>
      <c r="R92">
        <v>2050</v>
      </c>
      <c r="S92">
        <v>2050</v>
      </c>
      <c r="T92">
        <v>244.00848204656</v>
      </c>
      <c r="U92" t="b">
        <v>0</v>
      </c>
      <c r="V92">
        <v>2</v>
      </c>
      <c r="W92">
        <v>0</v>
      </c>
      <c r="X92">
        <v>50</v>
      </c>
      <c r="Y92">
        <v>10</v>
      </c>
      <c r="Z92">
        <v>0</v>
      </c>
      <c r="AA92">
        <v>0</v>
      </c>
      <c r="AB92">
        <v>0</v>
      </c>
      <c r="AC92">
        <v>0</v>
      </c>
      <c r="AD92">
        <v>48.586020679721173</v>
      </c>
    </row>
    <row r="93">
      <c r="A93" t="s">
        <v>224</v>
      </c>
      <c r="B93" s="2">
        <f>VLOOKUP(A93,PIPE!A:D,4,0)</f>
        <v>343.97000000000003</v>
      </c>
      <c r="C93">
        <v>0</v>
      </c>
      <c r="E93">
        <v>160.72</v>
      </c>
      <c r="F93">
        <v>343.97000000000003</v>
      </c>
      <c r="G93" t="s">
        <v>225</v>
      </c>
      <c r="H93" t="s">
        <v>52</v>
      </c>
      <c r="U93" t="b">
        <v>0</v>
      </c>
    </row>
    <row r="94">
      <c r="A94" t="s">
        <v>226</v>
      </c>
      <c r="B94" s="2">
        <f>VLOOKUP(A94,PIPE!A:D,4,0)</f>
        <v>151.34999999999999</v>
      </c>
      <c r="C94">
        <v>0</v>
      </c>
      <c r="E94">
        <v>51.619999999999997</v>
      </c>
      <c r="F94">
        <v>151.34999999999999</v>
      </c>
      <c r="G94" t="s">
        <v>227</v>
      </c>
      <c r="H94" t="s">
        <v>58</v>
      </c>
      <c r="U94" t="b">
        <v>0</v>
      </c>
    </row>
    <row r="95">
      <c r="A95" t="s">
        <v>228</v>
      </c>
      <c r="B95" s="2">
        <f>VLOOKUP(A95,PIPE!A:D,4,0)</f>
        <v>447.88999999999999</v>
      </c>
      <c r="C95">
        <v>0</v>
      </c>
      <c r="E95">
        <v>313.26999999999998</v>
      </c>
      <c r="F95">
        <v>447.88999999999999</v>
      </c>
      <c r="G95" t="s">
        <v>229</v>
      </c>
      <c r="H95" t="s">
        <v>31</v>
      </c>
      <c r="U95" t="b">
        <v>0</v>
      </c>
    </row>
    <row r="96">
      <c r="A96" t="s">
        <v>230</v>
      </c>
      <c r="B96" s="2">
        <f>VLOOKUP(A96,PIPE!A:D,4,0)</f>
        <v>80.230000000000004</v>
      </c>
      <c r="C96">
        <v>0</v>
      </c>
      <c r="E96">
        <v>14.539999999999999</v>
      </c>
      <c r="F96">
        <v>80.230000000000004</v>
      </c>
      <c r="G96" t="s">
        <v>231</v>
      </c>
      <c r="H96" t="s">
        <v>45</v>
      </c>
      <c r="U96" t="b">
        <v>0</v>
      </c>
    </row>
    <row r="97">
      <c r="A97" t="s">
        <v>232</v>
      </c>
      <c r="B97" s="2">
        <f>VLOOKUP(A97,PIPE!A:D,4,0)</f>
        <v>562.63</v>
      </c>
      <c r="C97">
        <v>0</v>
      </c>
      <c r="E97">
        <v>530.62</v>
      </c>
      <c r="F97">
        <v>562.63</v>
      </c>
      <c r="G97" t="s">
        <v>233</v>
      </c>
      <c r="H97" t="s">
        <v>107</v>
      </c>
      <c r="U97" t="b">
        <v>0</v>
      </c>
    </row>
    <row r="98">
      <c r="A98" t="s">
        <v>234</v>
      </c>
      <c r="B98" s="2">
        <f>VLOOKUP(A98,PIPE!A:D,4,0)</f>
        <v>135.33000000000001</v>
      </c>
      <c r="C98">
        <v>0</v>
      </c>
      <c r="E98">
        <v>0</v>
      </c>
      <c r="F98">
        <v>135.33000000000001</v>
      </c>
      <c r="G98" t="s">
        <v>235</v>
      </c>
      <c r="H98" t="s">
        <v>107</v>
      </c>
    </row>
    <row r="99">
      <c r="A99" t="s">
        <v>236</v>
      </c>
      <c r="B99" s="2">
        <f>VLOOKUP(A99,PIPE!A:D,4,0)</f>
        <v>192.08000000000001</v>
      </c>
      <c r="C99">
        <v>0</v>
      </c>
      <c r="E99">
        <v>0</v>
      </c>
      <c r="F99">
        <v>192.08000000000001</v>
      </c>
      <c r="G99" t="s">
        <v>237</v>
      </c>
      <c r="H99" t="s">
        <v>31</v>
      </c>
    </row>
    <row r="100">
      <c r="A100" t="s">
        <v>238</v>
      </c>
      <c r="B100" s="2">
        <f>VLOOKUP(A100,PIPE!A:D,4,0)</f>
        <v>161.78999999999999</v>
      </c>
      <c r="C100">
        <v>0</v>
      </c>
      <c r="E100">
        <v>0</v>
      </c>
      <c r="F100">
        <v>161.78999999999999</v>
      </c>
      <c r="G100" t="s">
        <v>239</v>
      </c>
      <c r="H100" t="s">
        <v>31</v>
      </c>
    </row>
    <row r="101">
      <c r="A101" t="s">
        <v>240</v>
      </c>
      <c r="B101" s="2">
        <f>VLOOKUP(A101,PIPE!A:D,4,0)</f>
        <v>192.08000000000001</v>
      </c>
      <c r="C101">
        <v>0</v>
      </c>
      <c r="E101">
        <v>0</v>
      </c>
      <c r="F101">
        <v>192.08000000000001</v>
      </c>
      <c r="G101" t="s">
        <v>241</v>
      </c>
      <c r="H101" t="s">
        <v>31</v>
      </c>
    </row>
    <row r="102">
      <c r="A102" t="s">
        <v>242</v>
      </c>
      <c r="B102" s="2">
        <f>VLOOKUP(A102,PIPE!A:D,4,0)</f>
        <v>25.420000000000002</v>
      </c>
      <c r="C102">
        <v>1</v>
      </c>
      <c r="D102">
        <v>38</v>
      </c>
      <c r="E102">
        <v>0</v>
      </c>
      <c r="F102">
        <v>25.420000000000002</v>
      </c>
      <c r="G102" t="s">
        <v>243</v>
      </c>
      <c r="H102" t="s">
        <v>195</v>
      </c>
      <c r="I102">
        <v>238.75987100735929</v>
      </c>
      <c r="K102">
        <v>236.95987100735931</v>
      </c>
      <c r="L102">
        <v>236.95987100735931</v>
      </c>
      <c r="M102">
        <v>27.357528862538089</v>
      </c>
      <c r="O102">
        <v>15</v>
      </c>
      <c r="Q102">
        <v>0</v>
      </c>
      <c r="S102">
        <v>2045</v>
      </c>
      <c r="T102">
        <v>50.548483440000012</v>
      </c>
      <c r="W102">
        <v>0</v>
      </c>
      <c r="Z102">
        <v>0</v>
      </c>
      <c r="AA102">
        <v>0</v>
      </c>
      <c r="AB102">
        <v>0</v>
      </c>
      <c r="AC102">
        <v>107.39000000000151</v>
      </c>
      <c r="AD102">
        <v>110.84999999999999</v>
      </c>
    </row>
    <row r="103">
      <c r="A103" t="s">
        <v>244</v>
      </c>
      <c r="B103" s="2">
        <f>VLOOKUP(A103,PIPE!A:D,4,0)</f>
        <v>25.73</v>
      </c>
      <c r="C103">
        <v>1</v>
      </c>
      <c r="D103">
        <v>42</v>
      </c>
      <c r="E103">
        <v>0</v>
      </c>
      <c r="F103">
        <v>25.73</v>
      </c>
      <c r="G103" t="s">
        <v>245</v>
      </c>
      <c r="H103" t="s">
        <v>195</v>
      </c>
      <c r="I103">
        <v>153.46191091591521</v>
      </c>
      <c r="K103">
        <v>151.84191091591529</v>
      </c>
      <c r="L103">
        <v>151.84191091591521</v>
      </c>
      <c r="M103">
        <v>22.189588053825361</v>
      </c>
      <c r="O103">
        <v>15</v>
      </c>
      <c r="Q103">
        <v>0</v>
      </c>
      <c r="S103">
        <v>2035</v>
      </c>
      <c r="T103">
        <v>98.422962059999989</v>
      </c>
      <c r="W103">
        <v>0</v>
      </c>
      <c r="Z103">
        <v>0</v>
      </c>
      <c r="AA103">
        <v>135.82000000000011</v>
      </c>
      <c r="AB103">
        <v>131.3300000000001</v>
      </c>
      <c r="AC103">
        <v>75.969164778552695</v>
      </c>
      <c r="AD103">
        <v>71.959351788553533</v>
      </c>
    </row>
    <row r="104">
      <c r="A104" t="s">
        <v>246</v>
      </c>
      <c r="B104" s="2">
        <f>VLOOKUP(A104,PIPE!A:D,4,0)</f>
        <v>25.420000000000002</v>
      </c>
      <c r="C104">
        <v>0</v>
      </c>
      <c r="E104">
        <v>0</v>
      </c>
      <c r="F104">
        <v>25.420000000000002</v>
      </c>
      <c r="G104" t="s">
        <v>247</v>
      </c>
      <c r="H104" t="s">
        <v>82</v>
      </c>
    </row>
    <row r="105">
      <c r="A105" t="s">
        <v>248</v>
      </c>
      <c r="B105" s="2">
        <f>VLOOKUP(A105,PIPE!A:D,4,0)</f>
        <v>24.609999999999999</v>
      </c>
      <c r="C105">
        <v>0</v>
      </c>
      <c r="E105">
        <v>0</v>
      </c>
      <c r="F105">
        <v>24.609999999999999</v>
      </c>
      <c r="G105" t="s">
        <v>249</v>
      </c>
      <c r="H105" t="s">
        <v>195</v>
      </c>
    </row>
    <row r="106">
      <c r="A106" t="s">
        <v>250</v>
      </c>
      <c r="B106" s="2">
        <f>VLOOKUP(A106,PIPE!A:D,4,0)</f>
        <v>161.78999999999999</v>
      </c>
      <c r="C106">
        <v>0</v>
      </c>
      <c r="E106">
        <v>0</v>
      </c>
      <c r="F106">
        <v>161.78999999999999</v>
      </c>
      <c r="G106" t="s">
        <v>251</v>
      </c>
      <c r="H106" t="s">
        <v>31</v>
      </c>
    </row>
    <row r="107">
      <c r="A107" t="s">
        <v>252</v>
      </c>
      <c r="B107" s="2">
        <f>VLOOKUP(A107,PIPE!A:D,4,0)</f>
        <v>24.609999999999999</v>
      </c>
      <c r="C107">
        <v>0</v>
      </c>
      <c r="E107">
        <v>0</v>
      </c>
      <c r="F107">
        <v>24.609999999999999</v>
      </c>
      <c r="G107" t="s">
        <v>253</v>
      </c>
      <c r="H107" t="s">
        <v>82</v>
      </c>
    </row>
    <row r="108">
      <c r="A108" t="s">
        <v>254</v>
      </c>
      <c r="B108" s="2">
        <f>VLOOKUP(A108,PIPE!A:D,4,0)</f>
        <v>25.73</v>
      </c>
      <c r="C108">
        <v>0</v>
      </c>
      <c r="E108">
        <v>0</v>
      </c>
      <c r="F108">
        <v>25.73</v>
      </c>
      <c r="G108" t="s">
        <v>255</v>
      </c>
      <c r="H108" t="s">
        <v>82</v>
      </c>
    </row>
    <row r="109">
      <c r="A109" t="s">
        <v>256</v>
      </c>
      <c r="B109" s="2">
        <f>VLOOKUP(A109,PIPE!A:D,4,0)</f>
        <v>135.33000000000001</v>
      </c>
      <c r="C109">
        <v>0</v>
      </c>
      <c r="E109">
        <v>0</v>
      </c>
      <c r="F109">
        <v>135.33000000000001</v>
      </c>
      <c r="G109" t="s">
        <v>257</v>
      </c>
      <c r="H109" t="s">
        <v>55</v>
      </c>
    </row>
  </sheetData>
  <autoFilter ref="A1:AD109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6.421875"/>
    <col customWidth="1" min="2" max="3" width="9.140625"/>
    <col bestFit="1" customWidth="1" min="4" max="4" width="14.00390625"/>
  </cols>
  <sheetData>
    <row r="1" ht="14.25">
      <c r="A1" s="3" t="s">
        <v>294</v>
      </c>
      <c r="B1" s="3" t="s">
        <v>295</v>
      </c>
      <c r="C1" s="3" t="s">
        <v>296</v>
      </c>
      <c r="D1" s="3" t="s">
        <v>297</v>
      </c>
    </row>
    <row r="2" ht="14.25">
      <c r="A2" s="4" t="s">
        <v>116</v>
      </c>
      <c r="B2" s="4" t="s">
        <v>117</v>
      </c>
      <c r="C2" s="4" t="s">
        <v>118</v>
      </c>
      <c r="D2" s="4">
        <v>423.45999999999998</v>
      </c>
    </row>
    <row r="3" ht="14.25">
      <c r="A3" s="4" t="s">
        <v>157</v>
      </c>
      <c r="B3" s="4" t="s">
        <v>158</v>
      </c>
      <c r="C3" s="4" t="s">
        <v>118</v>
      </c>
      <c r="D3" s="4">
        <v>423.45999999999998</v>
      </c>
    </row>
    <row r="4" ht="14.25">
      <c r="A4" s="4" t="s">
        <v>80</v>
      </c>
      <c r="B4" s="4" t="s">
        <v>81</v>
      </c>
      <c r="C4" s="4" t="s">
        <v>82</v>
      </c>
      <c r="D4" s="4">
        <v>491.30000000000001</v>
      </c>
    </row>
    <row r="5" ht="14.25">
      <c r="A5" s="4" t="s">
        <v>193</v>
      </c>
      <c r="B5" s="4" t="s">
        <v>194</v>
      </c>
      <c r="C5" s="4" t="s">
        <v>195</v>
      </c>
      <c r="D5" s="4">
        <v>491.30000000000001</v>
      </c>
    </row>
    <row r="6" ht="14.25">
      <c r="A6" s="4" t="s">
        <v>97</v>
      </c>
      <c r="B6" s="4" t="s">
        <v>98</v>
      </c>
      <c r="C6" s="4" t="s">
        <v>61</v>
      </c>
      <c r="D6" s="4">
        <v>448.82999999999998</v>
      </c>
    </row>
    <row r="7" ht="14.25">
      <c r="A7" s="4" t="s">
        <v>87</v>
      </c>
      <c r="B7" s="4" t="s">
        <v>88</v>
      </c>
      <c r="C7" s="4" t="s">
        <v>58</v>
      </c>
      <c r="D7" s="4">
        <v>448.82999999999998</v>
      </c>
    </row>
    <row r="8" ht="14.25">
      <c r="A8" s="4" t="s">
        <v>204</v>
      </c>
      <c r="B8" s="4" t="s">
        <v>205</v>
      </c>
      <c r="C8" s="4" t="s">
        <v>61</v>
      </c>
      <c r="D8" s="4">
        <v>68.849999999999994</v>
      </c>
    </row>
    <row r="9" ht="14.25">
      <c r="A9" s="4" t="s">
        <v>151</v>
      </c>
      <c r="B9" s="4" t="s">
        <v>152</v>
      </c>
      <c r="C9" s="4" t="s">
        <v>58</v>
      </c>
      <c r="D9" s="4">
        <v>68.849999999999994</v>
      </c>
    </row>
    <row r="10" ht="14.25">
      <c r="A10" s="4" t="s">
        <v>59</v>
      </c>
      <c r="B10" s="4" t="s">
        <v>60</v>
      </c>
      <c r="C10" s="4" t="s">
        <v>61</v>
      </c>
      <c r="D10" s="4">
        <v>151.34999999999999</v>
      </c>
    </row>
    <row r="11" ht="14.25">
      <c r="A11" s="4" t="s">
        <v>226</v>
      </c>
      <c r="B11" s="4" t="s">
        <v>227</v>
      </c>
      <c r="C11" s="4" t="s">
        <v>58</v>
      </c>
      <c r="D11" s="4">
        <v>151.34999999999999</v>
      </c>
    </row>
    <row r="12" ht="14.25">
      <c r="A12" s="4" t="s">
        <v>108</v>
      </c>
      <c r="B12" s="4" t="s">
        <v>109</v>
      </c>
      <c r="C12" s="4" t="s">
        <v>34</v>
      </c>
      <c r="D12" s="4">
        <v>80.230000000000004</v>
      </c>
    </row>
    <row r="13" ht="14.25">
      <c r="A13" s="4" t="s">
        <v>230</v>
      </c>
      <c r="B13" s="4" t="s">
        <v>231</v>
      </c>
      <c r="C13" s="4" t="s">
        <v>45</v>
      </c>
      <c r="D13" s="4">
        <v>80.230000000000004</v>
      </c>
    </row>
    <row r="14" ht="14.25">
      <c r="A14" s="4" t="s">
        <v>202</v>
      </c>
      <c r="B14" s="4" t="s">
        <v>203</v>
      </c>
      <c r="C14" s="4" t="s">
        <v>61</v>
      </c>
      <c r="D14" s="4">
        <v>518.05999999999995</v>
      </c>
    </row>
    <row r="15" ht="14.25">
      <c r="A15" s="4" t="s">
        <v>119</v>
      </c>
      <c r="B15" s="4" t="s">
        <v>120</v>
      </c>
      <c r="C15" s="4" t="s">
        <v>58</v>
      </c>
      <c r="D15" s="4">
        <v>518.05999999999995</v>
      </c>
    </row>
    <row r="16" ht="14.25">
      <c r="A16" s="4" t="s">
        <v>167</v>
      </c>
      <c r="B16" s="4" t="s">
        <v>168</v>
      </c>
      <c r="C16" s="4" t="s">
        <v>34</v>
      </c>
      <c r="D16" s="4">
        <v>484.77999999999997</v>
      </c>
    </row>
    <row r="17" ht="14.25">
      <c r="A17" s="4" t="s">
        <v>139</v>
      </c>
      <c r="B17" s="4" t="s">
        <v>140</v>
      </c>
      <c r="C17" s="4" t="s">
        <v>45</v>
      </c>
      <c r="D17" s="4">
        <v>484.77999999999997</v>
      </c>
    </row>
    <row r="18" ht="14.25">
      <c r="A18" s="4" t="s">
        <v>220</v>
      </c>
      <c r="B18" s="4" t="s">
        <v>221</v>
      </c>
      <c r="C18" s="4" t="s">
        <v>34</v>
      </c>
      <c r="D18" s="4">
        <v>141.72999999999999</v>
      </c>
    </row>
    <row r="19" ht="14.25">
      <c r="A19" s="4" t="s">
        <v>175</v>
      </c>
      <c r="B19" s="4" t="s">
        <v>176</v>
      </c>
      <c r="C19" s="4" t="s">
        <v>45</v>
      </c>
      <c r="D19" s="4">
        <v>141.72999999999999</v>
      </c>
    </row>
    <row r="20" ht="14.25">
      <c r="A20" s="4" t="s">
        <v>252</v>
      </c>
      <c r="B20" s="4" t="s">
        <v>253</v>
      </c>
      <c r="C20" s="4" t="s">
        <v>82</v>
      </c>
      <c r="D20" s="4">
        <v>24.609999999999999</v>
      </c>
    </row>
    <row r="21" ht="14.25">
      <c r="A21" s="4" t="s">
        <v>248</v>
      </c>
      <c r="B21" s="4" t="s">
        <v>249</v>
      </c>
      <c r="C21" s="4" t="s">
        <v>195</v>
      </c>
      <c r="D21" s="4">
        <v>24.609999999999999</v>
      </c>
    </row>
    <row r="22" ht="14.25">
      <c r="A22" s="4" t="s">
        <v>224</v>
      </c>
      <c r="B22" s="4" t="s">
        <v>225</v>
      </c>
      <c r="C22" s="4" t="s">
        <v>52</v>
      </c>
      <c r="D22" s="4">
        <v>343.97000000000003</v>
      </c>
    </row>
    <row r="23" ht="14.25">
      <c r="A23" s="4" t="s">
        <v>222</v>
      </c>
      <c r="B23" s="4" t="s">
        <v>223</v>
      </c>
      <c r="C23" s="4" t="s">
        <v>52</v>
      </c>
      <c r="D23" s="4">
        <v>343.97000000000003</v>
      </c>
    </row>
    <row r="24" ht="14.25">
      <c r="A24" s="4" t="s">
        <v>135</v>
      </c>
      <c r="B24" s="4" t="s">
        <v>136</v>
      </c>
      <c r="C24" s="4" t="s">
        <v>34</v>
      </c>
      <c r="D24" s="4">
        <v>222.05000000000001</v>
      </c>
    </row>
    <row r="25" ht="14.25">
      <c r="A25" s="4" t="s">
        <v>206</v>
      </c>
      <c r="B25" s="4" t="s">
        <v>207</v>
      </c>
      <c r="C25" s="4" t="s">
        <v>45</v>
      </c>
      <c r="D25" s="4">
        <v>222.05000000000001</v>
      </c>
    </row>
    <row r="26" ht="14.25">
      <c r="A26" s="4" t="s">
        <v>153</v>
      </c>
      <c r="B26" s="4" t="s">
        <v>154</v>
      </c>
      <c r="C26" s="4" t="s">
        <v>55</v>
      </c>
      <c r="D26" s="4">
        <v>555.74000000000001</v>
      </c>
    </row>
    <row r="27" ht="14.25">
      <c r="A27" s="4" t="s">
        <v>187</v>
      </c>
      <c r="B27" s="4" t="s">
        <v>188</v>
      </c>
      <c r="C27" s="4" t="s">
        <v>107</v>
      </c>
      <c r="D27" s="4">
        <v>555.74000000000001</v>
      </c>
    </row>
    <row r="28" ht="14.25">
      <c r="A28" s="4" t="s">
        <v>53</v>
      </c>
      <c r="B28" s="4" t="s">
        <v>54</v>
      </c>
      <c r="C28" s="4" t="s">
        <v>55</v>
      </c>
      <c r="D28" s="4">
        <v>336.49000000000001</v>
      </c>
    </row>
    <row r="29" ht="14.25">
      <c r="A29" s="4" t="s">
        <v>141</v>
      </c>
      <c r="B29" s="4" t="s">
        <v>142</v>
      </c>
      <c r="C29" s="4" t="s">
        <v>107</v>
      </c>
      <c r="D29" s="4">
        <v>336.49000000000001</v>
      </c>
    </row>
    <row r="30" ht="14.25">
      <c r="A30" s="4" t="s">
        <v>256</v>
      </c>
      <c r="B30" s="4" t="s">
        <v>257</v>
      </c>
      <c r="C30" s="4" t="s">
        <v>55</v>
      </c>
      <c r="D30" s="4">
        <v>135.33000000000001</v>
      </c>
    </row>
    <row r="31" ht="14.25">
      <c r="A31" s="4" t="s">
        <v>234</v>
      </c>
      <c r="B31" s="4" t="s">
        <v>235</v>
      </c>
      <c r="C31" s="4" t="s">
        <v>107</v>
      </c>
      <c r="D31" s="4">
        <v>135.33000000000001</v>
      </c>
    </row>
    <row r="32" ht="14.25">
      <c r="A32" s="4" t="s">
        <v>147</v>
      </c>
      <c r="B32" s="4" t="s">
        <v>148</v>
      </c>
      <c r="C32" s="4" t="s">
        <v>34</v>
      </c>
      <c r="D32" s="4">
        <v>130.69999999999999</v>
      </c>
    </row>
    <row r="33" ht="14.25">
      <c r="A33" s="4" t="s">
        <v>155</v>
      </c>
      <c r="B33" s="4" t="s">
        <v>156</v>
      </c>
      <c r="C33" s="4" t="s">
        <v>45</v>
      </c>
      <c r="D33" s="4">
        <v>130.69999999999999</v>
      </c>
    </row>
    <row r="34" ht="14.25">
      <c r="A34" s="4" t="s">
        <v>246</v>
      </c>
      <c r="B34" s="4" t="s">
        <v>247</v>
      </c>
      <c r="C34" s="4" t="s">
        <v>82</v>
      </c>
      <c r="D34" s="4">
        <v>25.420000000000002</v>
      </c>
    </row>
    <row r="35" ht="14.25">
      <c r="A35" s="4" t="s">
        <v>242</v>
      </c>
      <c r="B35" s="4" t="s">
        <v>243</v>
      </c>
      <c r="C35" s="4" t="s">
        <v>195</v>
      </c>
      <c r="D35" s="4">
        <v>25.420000000000002</v>
      </c>
    </row>
    <row r="36" ht="14.25">
      <c r="A36" s="4" t="s">
        <v>38</v>
      </c>
      <c r="B36" s="4" t="s">
        <v>39</v>
      </c>
      <c r="C36" s="4" t="s">
        <v>34</v>
      </c>
      <c r="D36" s="4">
        <v>179.47</v>
      </c>
    </row>
    <row r="37" ht="14.25">
      <c r="A37" s="4" t="s">
        <v>43</v>
      </c>
      <c r="B37" s="4" t="s">
        <v>44</v>
      </c>
      <c r="C37" s="4" t="s">
        <v>45</v>
      </c>
      <c r="D37" s="4">
        <v>179.47</v>
      </c>
    </row>
    <row r="38" ht="14.25">
      <c r="A38" s="4" t="s">
        <v>78</v>
      </c>
      <c r="B38" s="4" t="s">
        <v>79</v>
      </c>
      <c r="C38" s="4" t="s">
        <v>55</v>
      </c>
      <c r="D38" s="4">
        <v>297.07999999999998</v>
      </c>
    </row>
    <row r="39" ht="14.25">
      <c r="A39" s="4" t="s">
        <v>105</v>
      </c>
      <c r="B39" s="4" t="s">
        <v>106</v>
      </c>
      <c r="C39" s="4" t="s">
        <v>107</v>
      </c>
      <c r="D39" s="4">
        <v>297.07999999999998</v>
      </c>
    </row>
    <row r="40" ht="14.25">
      <c r="A40" s="4" t="s">
        <v>218</v>
      </c>
      <c r="B40" s="4" t="s">
        <v>219</v>
      </c>
      <c r="C40" s="4" t="s">
        <v>52</v>
      </c>
      <c r="D40" s="4">
        <v>263.91000000000003</v>
      </c>
    </row>
    <row r="41" ht="14.25">
      <c r="A41" s="4" t="s">
        <v>110</v>
      </c>
      <c r="B41" s="4" t="s">
        <v>111</v>
      </c>
      <c r="C41" s="4" t="s">
        <v>52</v>
      </c>
      <c r="D41" s="4">
        <v>263.91000000000003</v>
      </c>
    </row>
    <row r="42" ht="14.25">
      <c r="A42" s="4" t="s">
        <v>191</v>
      </c>
      <c r="B42" s="4" t="s">
        <v>192</v>
      </c>
      <c r="C42" s="4" t="s">
        <v>31</v>
      </c>
      <c r="D42" s="4">
        <v>496.16000000000003</v>
      </c>
    </row>
    <row r="43" ht="14.25">
      <c r="A43" s="4" t="s">
        <v>62</v>
      </c>
      <c r="B43" s="4" t="s">
        <v>63</v>
      </c>
      <c r="C43" s="4" t="s">
        <v>31</v>
      </c>
      <c r="D43" s="4">
        <v>496.16000000000003</v>
      </c>
    </row>
    <row r="44" ht="14.25">
      <c r="A44" s="4" t="s">
        <v>74</v>
      </c>
      <c r="B44" s="4" t="s">
        <v>75</v>
      </c>
      <c r="C44" s="4" t="s">
        <v>61</v>
      </c>
      <c r="D44" s="4">
        <v>78.120000000000005</v>
      </c>
    </row>
    <row r="45" ht="14.25">
      <c r="A45" s="4" t="s">
        <v>198</v>
      </c>
      <c r="B45" s="4" t="s">
        <v>199</v>
      </c>
      <c r="C45" s="4" t="s">
        <v>58</v>
      </c>
      <c r="D45" s="4">
        <v>78.120000000000005</v>
      </c>
    </row>
    <row r="46" ht="14.25">
      <c r="A46" s="4" t="s">
        <v>161</v>
      </c>
      <c r="B46" s="4" t="s">
        <v>162</v>
      </c>
      <c r="C46" s="4" t="s">
        <v>34</v>
      </c>
      <c r="D46" s="4">
        <v>243.08000000000001</v>
      </c>
    </row>
    <row r="47" ht="14.25">
      <c r="A47" s="4" t="s">
        <v>114</v>
      </c>
      <c r="B47" s="4" t="s">
        <v>115</v>
      </c>
      <c r="C47" s="4" t="s">
        <v>45</v>
      </c>
      <c r="D47" s="4">
        <v>243.08000000000001</v>
      </c>
    </row>
    <row r="48" ht="14.25">
      <c r="A48" s="4" t="s">
        <v>145</v>
      </c>
      <c r="B48" s="4" t="s">
        <v>146</v>
      </c>
      <c r="C48" s="4" t="s">
        <v>34</v>
      </c>
      <c r="D48" s="4">
        <v>228.47999999999999</v>
      </c>
    </row>
    <row r="49" ht="14.25">
      <c r="A49" s="4" t="s">
        <v>66</v>
      </c>
      <c r="B49" s="4" t="s">
        <v>67</v>
      </c>
      <c r="C49" s="4" t="s">
        <v>45</v>
      </c>
      <c r="D49" s="4">
        <v>228.47999999999999</v>
      </c>
    </row>
    <row r="50" ht="14.25">
      <c r="A50" s="4" t="s">
        <v>208</v>
      </c>
      <c r="B50" s="4" t="s">
        <v>209</v>
      </c>
      <c r="C50" s="4" t="s">
        <v>42</v>
      </c>
      <c r="D50" s="4">
        <v>345.18000000000001</v>
      </c>
    </row>
    <row r="51" ht="14.25">
      <c r="A51" s="4" t="s">
        <v>125</v>
      </c>
      <c r="B51" s="4" t="s">
        <v>126</v>
      </c>
      <c r="C51" s="4" t="s">
        <v>37</v>
      </c>
      <c r="D51" s="4">
        <v>345.18000000000001</v>
      </c>
    </row>
    <row r="52" ht="14.25">
      <c r="A52" s="4" t="s">
        <v>179</v>
      </c>
      <c r="B52" s="4" t="s">
        <v>180</v>
      </c>
      <c r="C52" s="4" t="s">
        <v>31</v>
      </c>
      <c r="D52" s="4">
        <v>553.72000000000003</v>
      </c>
    </row>
    <row r="53" ht="14.25">
      <c r="A53" s="4" t="s">
        <v>189</v>
      </c>
      <c r="B53" s="4" t="s">
        <v>190</v>
      </c>
      <c r="C53" s="4" t="s">
        <v>31</v>
      </c>
      <c r="D53" s="4">
        <v>553.72000000000003</v>
      </c>
    </row>
    <row r="54" ht="14.25">
      <c r="A54" s="4" t="s">
        <v>171</v>
      </c>
      <c r="B54" s="4" t="s">
        <v>172</v>
      </c>
      <c r="C54" s="4" t="s">
        <v>34</v>
      </c>
      <c r="D54" s="4">
        <v>325.82999999999998</v>
      </c>
    </row>
    <row r="55" ht="14.25">
      <c r="A55" s="4" t="s">
        <v>127</v>
      </c>
      <c r="B55" s="4" t="s">
        <v>128</v>
      </c>
      <c r="C55" s="4" t="s">
        <v>45</v>
      </c>
      <c r="D55" s="4">
        <v>325.82999999999998</v>
      </c>
    </row>
    <row r="56" ht="14.25">
      <c r="A56" s="4" t="s">
        <v>131</v>
      </c>
      <c r="B56" s="4" t="s">
        <v>132</v>
      </c>
      <c r="C56" s="4" t="s">
        <v>42</v>
      </c>
      <c r="D56" s="4">
        <v>347.61000000000001</v>
      </c>
    </row>
    <row r="57" ht="14.25">
      <c r="A57" s="4" t="s">
        <v>165</v>
      </c>
      <c r="B57" s="4" t="s">
        <v>166</v>
      </c>
      <c r="C57" s="4" t="s">
        <v>37</v>
      </c>
      <c r="D57" s="4">
        <v>347.61000000000001</v>
      </c>
    </row>
    <row r="58" ht="14.25">
      <c r="A58" s="4" t="s">
        <v>212</v>
      </c>
      <c r="B58" s="4" t="s">
        <v>213</v>
      </c>
      <c r="C58" s="4" t="s">
        <v>52</v>
      </c>
      <c r="D58" s="4">
        <v>326.42000000000002</v>
      </c>
    </row>
    <row r="59" ht="14.25">
      <c r="A59" s="4" t="s">
        <v>95</v>
      </c>
      <c r="B59" s="4" t="s">
        <v>96</v>
      </c>
      <c r="C59" s="4" t="s">
        <v>52</v>
      </c>
      <c r="D59" s="4">
        <v>326.42000000000002</v>
      </c>
    </row>
    <row r="60" ht="14.25">
      <c r="A60" s="4" t="s">
        <v>103</v>
      </c>
      <c r="B60" s="4" t="s">
        <v>104</v>
      </c>
      <c r="C60" s="4" t="s">
        <v>34</v>
      </c>
      <c r="D60" s="4">
        <v>100.59999999999999</v>
      </c>
    </row>
    <row r="61" ht="14.25">
      <c r="A61" s="4" t="s">
        <v>159</v>
      </c>
      <c r="B61" s="4" t="s">
        <v>160</v>
      </c>
      <c r="C61" s="4" t="s">
        <v>45</v>
      </c>
      <c r="D61" s="4">
        <v>100.59999999999999</v>
      </c>
    </row>
    <row r="62" ht="14.25">
      <c r="A62" s="4" t="s">
        <v>183</v>
      </c>
      <c r="B62" s="4" t="s">
        <v>184</v>
      </c>
      <c r="C62" s="4" t="s">
        <v>31</v>
      </c>
      <c r="D62" s="4">
        <v>370.19</v>
      </c>
    </row>
    <row r="63" ht="14.25">
      <c r="A63" s="4" t="s">
        <v>181</v>
      </c>
      <c r="B63" s="4" t="s">
        <v>182</v>
      </c>
      <c r="C63" s="4" t="s">
        <v>31</v>
      </c>
      <c r="D63" s="4">
        <v>370.19</v>
      </c>
    </row>
    <row r="64" ht="14.25">
      <c r="A64" s="4" t="s">
        <v>101</v>
      </c>
      <c r="B64" s="4" t="s">
        <v>102</v>
      </c>
      <c r="C64" s="4" t="s">
        <v>34</v>
      </c>
      <c r="D64" s="4">
        <v>348.87</v>
      </c>
    </row>
    <row r="65" ht="14.25">
      <c r="A65" s="4" t="s">
        <v>177</v>
      </c>
      <c r="B65" s="4" t="s">
        <v>178</v>
      </c>
      <c r="C65" s="4" t="s">
        <v>45</v>
      </c>
      <c r="D65" s="4">
        <v>348.87</v>
      </c>
    </row>
    <row r="66" ht="14.25">
      <c r="A66" s="4" t="s">
        <v>250</v>
      </c>
      <c r="B66" s="4" t="s">
        <v>251</v>
      </c>
      <c r="C66" s="4" t="s">
        <v>31</v>
      </c>
      <c r="D66" s="4">
        <v>161.78999999999999</v>
      </c>
    </row>
    <row r="67" ht="14.25">
      <c r="A67" s="4" t="s">
        <v>238</v>
      </c>
      <c r="B67" s="4" t="s">
        <v>239</v>
      </c>
      <c r="C67" s="4" t="s">
        <v>31</v>
      </c>
      <c r="D67" s="4">
        <v>161.78999999999999</v>
      </c>
    </row>
    <row r="68" ht="14.25">
      <c r="A68" s="4" t="s">
        <v>93</v>
      </c>
      <c r="B68" s="4" t="s">
        <v>94</v>
      </c>
      <c r="C68" s="4" t="s">
        <v>55</v>
      </c>
      <c r="D68" s="4">
        <v>562.63</v>
      </c>
    </row>
    <row r="69" ht="14.25">
      <c r="A69" s="4" t="s">
        <v>232</v>
      </c>
      <c r="B69" s="4" t="s">
        <v>233</v>
      </c>
      <c r="C69" s="4" t="s">
        <v>107</v>
      </c>
      <c r="D69" s="4">
        <v>562.63</v>
      </c>
    </row>
    <row r="70" ht="14.25">
      <c r="A70" s="4" t="s">
        <v>70</v>
      </c>
      <c r="B70" s="4" t="s">
        <v>71</v>
      </c>
      <c r="C70" s="4" t="s">
        <v>55</v>
      </c>
      <c r="D70" s="4">
        <v>302.06</v>
      </c>
    </row>
    <row r="71" ht="14.25">
      <c r="A71" s="4" t="s">
        <v>133</v>
      </c>
      <c r="B71" s="4" t="s">
        <v>134</v>
      </c>
      <c r="C71" s="4" t="s">
        <v>107</v>
      </c>
      <c r="D71" s="4">
        <v>302.06</v>
      </c>
    </row>
    <row r="72" ht="14.25">
      <c r="A72" s="4" t="s">
        <v>83</v>
      </c>
      <c r="B72" s="4" t="s">
        <v>84</v>
      </c>
      <c r="C72" s="4" t="s">
        <v>31</v>
      </c>
      <c r="D72" s="4">
        <v>561.50999999999999</v>
      </c>
    </row>
    <row r="73" ht="14.25">
      <c r="A73" s="4" t="s">
        <v>68</v>
      </c>
      <c r="B73" s="4" t="s">
        <v>69</v>
      </c>
      <c r="C73" s="4" t="s">
        <v>31</v>
      </c>
      <c r="D73" s="4">
        <v>561.50999999999999</v>
      </c>
    </row>
    <row r="74" ht="14.25">
      <c r="A74" s="4" t="s">
        <v>216</v>
      </c>
      <c r="B74" s="4" t="s">
        <v>217</v>
      </c>
      <c r="C74" s="4" t="s">
        <v>61</v>
      </c>
      <c r="D74" s="4">
        <v>463.39999999999998</v>
      </c>
    </row>
    <row r="75" ht="14.25">
      <c r="A75" s="4" t="s">
        <v>56</v>
      </c>
      <c r="B75" s="4" t="s">
        <v>57</v>
      </c>
      <c r="C75" s="4" t="s">
        <v>58</v>
      </c>
      <c r="D75" s="4">
        <v>463.39999999999998</v>
      </c>
    </row>
    <row r="76" ht="14.25">
      <c r="A76" s="4" t="s">
        <v>254</v>
      </c>
      <c r="B76" s="4" t="s">
        <v>255</v>
      </c>
      <c r="C76" s="4" t="s">
        <v>82</v>
      </c>
      <c r="D76" s="4">
        <v>25.73</v>
      </c>
    </row>
    <row r="77" ht="14.25">
      <c r="A77" s="4" t="s">
        <v>244</v>
      </c>
      <c r="B77" s="4" t="s">
        <v>245</v>
      </c>
      <c r="C77" s="4" t="s">
        <v>195</v>
      </c>
      <c r="D77" s="4">
        <v>25.73</v>
      </c>
    </row>
    <row r="78" ht="14.25">
      <c r="A78" s="4" t="s">
        <v>149</v>
      </c>
      <c r="B78" s="4" t="s">
        <v>150</v>
      </c>
      <c r="C78" s="4" t="s">
        <v>61</v>
      </c>
      <c r="D78" s="4">
        <v>371.42000000000002</v>
      </c>
    </row>
    <row r="79" ht="14.25">
      <c r="A79" s="4" t="s">
        <v>196</v>
      </c>
      <c r="B79" s="4" t="s">
        <v>197</v>
      </c>
      <c r="C79" s="4" t="s">
        <v>58</v>
      </c>
      <c r="D79" s="4">
        <v>371.42000000000002</v>
      </c>
    </row>
    <row r="80" ht="14.25">
      <c r="A80" s="4" t="s">
        <v>40</v>
      </c>
      <c r="B80" s="4" t="s">
        <v>41</v>
      </c>
      <c r="C80" s="4" t="s">
        <v>42</v>
      </c>
      <c r="D80" s="4">
        <v>45.280000000000001</v>
      </c>
    </row>
    <row r="81" ht="14.25">
      <c r="A81" s="4" t="s">
        <v>35</v>
      </c>
      <c r="B81" s="4" t="s">
        <v>36</v>
      </c>
      <c r="C81" s="4" t="s">
        <v>37</v>
      </c>
      <c r="D81" s="4">
        <v>45.280000000000001</v>
      </c>
    </row>
    <row r="82" ht="14.25">
      <c r="A82" s="4" t="s">
        <v>89</v>
      </c>
      <c r="B82" s="4" t="s">
        <v>90</v>
      </c>
      <c r="C82" s="4" t="s">
        <v>31</v>
      </c>
      <c r="D82" s="4">
        <v>263.82999999999998</v>
      </c>
    </row>
    <row r="83" ht="14.25">
      <c r="A83" s="4" t="s">
        <v>29</v>
      </c>
      <c r="B83" s="4" t="s">
        <v>30</v>
      </c>
      <c r="C83" s="4" t="s">
        <v>31</v>
      </c>
      <c r="D83" s="4">
        <v>263.82999999999998</v>
      </c>
    </row>
    <row r="84" ht="14.25">
      <c r="A84" s="4" t="s">
        <v>143</v>
      </c>
      <c r="B84" s="4" t="s">
        <v>144</v>
      </c>
      <c r="C84" s="4" t="s">
        <v>82</v>
      </c>
      <c r="D84" s="4">
        <v>166.22999999999999</v>
      </c>
    </row>
    <row r="85" ht="14.25">
      <c r="A85" s="4" t="s">
        <v>200</v>
      </c>
      <c r="B85" s="4" t="s">
        <v>201</v>
      </c>
      <c r="C85" s="4" t="s">
        <v>195</v>
      </c>
      <c r="D85" s="4">
        <v>166.22999999999999</v>
      </c>
    </row>
    <row r="86" ht="14.25">
      <c r="A86" s="4" t="s">
        <v>214</v>
      </c>
      <c r="B86" s="4" t="s">
        <v>215</v>
      </c>
      <c r="C86" s="4" t="s">
        <v>42</v>
      </c>
      <c r="D86" s="4">
        <v>189.66</v>
      </c>
    </row>
    <row r="87" ht="14.25">
      <c r="A87" s="4" t="s">
        <v>64</v>
      </c>
      <c r="B87" s="4" t="s">
        <v>65</v>
      </c>
      <c r="C87" s="4" t="s">
        <v>37</v>
      </c>
      <c r="D87" s="4">
        <v>189.66</v>
      </c>
    </row>
    <row r="88" ht="14.25">
      <c r="A88" s="4" t="s">
        <v>185</v>
      </c>
      <c r="B88" s="4" t="s">
        <v>186</v>
      </c>
      <c r="C88" s="4" t="s">
        <v>34</v>
      </c>
      <c r="D88" s="4">
        <v>356.04000000000002</v>
      </c>
    </row>
    <row r="89" ht="14.25">
      <c r="A89" s="4" t="s">
        <v>210</v>
      </c>
      <c r="B89" s="4" t="s">
        <v>211</v>
      </c>
      <c r="C89" s="4" t="s">
        <v>45</v>
      </c>
      <c r="D89" s="4">
        <v>356.04000000000002</v>
      </c>
    </row>
    <row r="90" ht="14.25">
      <c r="A90" s="4" t="s">
        <v>173</v>
      </c>
      <c r="B90" s="4" t="s">
        <v>174</v>
      </c>
      <c r="C90" s="4" t="s">
        <v>42</v>
      </c>
      <c r="D90" s="4">
        <v>127.09999999999999</v>
      </c>
    </row>
    <row r="91" ht="14.25">
      <c r="A91" s="4" t="s">
        <v>129</v>
      </c>
      <c r="B91" s="4" t="s">
        <v>130</v>
      </c>
      <c r="C91" s="4" t="s">
        <v>37</v>
      </c>
      <c r="D91" s="4">
        <v>127.09999999999999</v>
      </c>
    </row>
    <row r="92" ht="14.25">
      <c r="A92" s="4" t="s">
        <v>137</v>
      </c>
      <c r="B92" s="4" t="s">
        <v>138</v>
      </c>
      <c r="C92" s="4" t="s">
        <v>34</v>
      </c>
      <c r="D92" s="4">
        <v>233.52000000000001</v>
      </c>
    </row>
    <row r="93" ht="14.25">
      <c r="A93" s="4" t="s">
        <v>123</v>
      </c>
      <c r="B93" s="4" t="s">
        <v>124</v>
      </c>
      <c r="C93" s="4" t="s">
        <v>45</v>
      </c>
      <c r="D93" s="4">
        <v>233.52000000000001</v>
      </c>
    </row>
    <row r="94" ht="14.25">
      <c r="A94" s="4" t="s">
        <v>99</v>
      </c>
      <c r="B94" s="4" t="s">
        <v>100</v>
      </c>
      <c r="C94" s="4" t="s">
        <v>34</v>
      </c>
      <c r="D94" s="4">
        <v>147.41</v>
      </c>
    </row>
    <row r="95" ht="14.25">
      <c r="A95" s="4" t="s">
        <v>112</v>
      </c>
      <c r="B95" s="4" t="s">
        <v>113</v>
      </c>
      <c r="C95" s="4" t="s">
        <v>45</v>
      </c>
      <c r="D95" s="4">
        <v>147.41</v>
      </c>
    </row>
    <row r="96" ht="14.25">
      <c r="A96" s="4" t="s">
        <v>228</v>
      </c>
      <c r="B96" s="4" t="s">
        <v>229</v>
      </c>
      <c r="C96" s="4" t="s">
        <v>31</v>
      </c>
      <c r="D96" s="4">
        <v>447.88999999999999</v>
      </c>
    </row>
    <row r="97" ht="14.25">
      <c r="A97" s="4" t="s">
        <v>76</v>
      </c>
      <c r="B97" s="4" t="s">
        <v>77</v>
      </c>
      <c r="C97" s="4" t="s">
        <v>31</v>
      </c>
      <c r="D97" s="4">
        <v>447.88999999999999</v>
      </c>
    </row>
    <row r="98" ht="14.25">
      <c r="A98" s="4" t="s">
        <v>91</v>
      </c>
      <c r="B98" s="4" t="s">
        <v>92</v>
      </c>
      <c r="C98" s="4" t="s">
        <v>34</v>
      </c>
      <c r="D98" s="4">
        <v>245.06</v>
      </c>
    </row>
    <row r="99" ht="14.25">
      <c r="A99" s="4" t="s">
        <v>169</v>
      </c>
      <c r="B99" s="4" t="s">
        <v>170</v>
      </c>
      <c r="C99" s="4" t="s">
        <v>45</v>
      </c>
      <c r="D99" s="4">
        <v>245.06</v>
      </c>
    </row>
    <row r="100" ht="14.25">
      <c r="A100" s="4" t="s">
        <v>163</v>
      </c>
      <c r="B100" s="4" t="s">
        <v>164</v>
      </c>
      <c r="C100" s="4" t="s">
        <v>52</v>
      </c>
      <c r="D100" s="4">
        <v>361.88</v>
      </c>
    </row>
    <row r="101" ht="14.25">
      <c r="A101" s="4" t="s">
        <v>50</v>
      </c>
      <c r="B101" s="4" t="s">
        <v>51</v>
      </c>
      <c r="C101" s="4" t="s">
        <v>52</v>
      </c>
      <c r="D101" s="4">
        <v>361.88</v>
      </c>
    </row>
    <row r="102" ht="14.25">
      <c r="A102" s="4" t="s">
        <v>85</v>
      </c>
      <c r="B102" s="4" t="s">
        <v>86</v>
      </c>
      <c r="C102" s="4" t="s">
        <v>55</v>
      </c>
      <c r="D102" s="4">
        <v>110.44</v>
      </c>
    </row>
    <row r="103" ht="14.25">
      <c r="A103" s="4" t="s">
        <v>121</v>
      </c>
      <c r="B103" s="4" t="s">
        <v>122</v>
      </c>
      <c r="C103" s="4" t="s">
        <v>107</v>
      </c>
      <c r="D103" s="4">
        <v>110.44</v>
      </c>
    </row>
    <row r="104" ht="14.25">
      <c r="A104" s="4" t="s">
        <v>72</v>
      </c>
      <c r="B104" s="4" t="s">
        <v>73</v>
      </c>
      <c r="C104" s="4" t="s">
        <v>34</v>
      </c>
      <c r="D104" s="4">
        <v>189.69</v>
      </c>
    </row>
    <row r="105" ht="14.25">
      <c r="A105" s="4" t="s">
        <v>46</v>
      </c>
      <c r="B105" s="4" t="s">
        <v>47</v>
      </c>
      <c r="C105" s="4" t="s">
        <v>45</v>
      </c>
      <c r="D105" s="4">
        <v>189.69</v>
      </c>
    </row>
    <row r="106" ht="14.25">
      <c r="A106" s="4" t="s">
        <v>32</v>
      </c>
      <c r="B106" s="4" t="s">
        <v>33</v>
      </c>
      <c r="C106" s="4" t="s">
        <v>34</v>
      </c>
      <c r="D106" s="4">
        <v>369.45999999999998</v>
      </c>
    </row>
    <row r="107" ht="14.25">
      <c r="A107" s="4" t="s">
        <v>48</v>
      </c>
      <c r="B107" s="4" t="s">
        <v>49</v>
      </c>
      <c r="C107" s="4" t="s">
        <v>45</v>
      </c>
      <c r="D107" s="4">
        <v>369.45999999999998</v>
      </c>
    </row>
    <row r="108" ht="14.25">
      <c r="A108" s="4" t="s">
        <v>236</v>
      </c>
      <c r="B108" s="4" t="s">
        <v>237</v>
      </c>
      <c r="C108" s="4" t="s">
        <v>31</v>
      </c>
      <c r="D108" s="4">
        <v>192.08000000000001</v>
      </c>
    </row>
    <row r="109" ht="14.25">
      <c r="A109" s="4" t="s">
        <v>240</v>
      </c>
      <c r="B109" s="4" t="s">
        <v>241</v>
      </c>
      <c r="C109" s="4" t="s">
        <v>31</v>
      </c>
      <c r="D109" s="4">
        <v>192.08000000000001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3654.1799999999998</v>
      </c>
      <c r="F3">
        <v>3522.8499999999999</v>
      </c>
      <c r="G3">
        <v>3446.8808352214469</v>
      </c>
      <c r="H3">
        <v>3374.9214834328941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1992.609999999999</v>
      </c>
      <c r="H4">
        <v>1881.7599999999991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4551.7320000000018</v>
      </c>
      <c r="E6">
        <v>4551.7320000000018</v>
      </c>
      <c r="F6">
        <v>4525.9320000000016</v>
      </c>
      <c r="G6">
        <v>4499.5180206797231</v>
      </c>
      <c r="H6">
        <v>4499.5180206797231</v>
      </c>
    </row>
    <row r="7">
      <c r="A7">
        <v>21</v>
      </c>
      <c r="B7">
        <v>1372.72</v>
      </c>
      <c r="C7">
        <v>1372.72</v>
      </c>
      <c r="D7">
        <v>1323.1700000000001</v>
      </c>
      <c r="E7">
        <v>1272.4960000000001</v>
      </c>
      <c r="F7">
        <v>1218.9800000000009</v>
      </c>
      <c r="G7">
        <v>1198.0771440988351</v>
      </c>
      <c r="H7">
        <v>1160.018660665942</v>
      </c>
    </row>
    <row r="8">
      <c r="A8">
        <v>22</v>
      </c>
      <c r="B8">
        <v>2171.48</v>
      </c>
      <c r="C8">
        <v>2171.48</v>
      </c>
      <c r="D8">
        <v>2171.48</v>
      </c>
      <c r="E8">
        <v>2171.48</v>
      </c>
      <c r="F8">
        <v>2171.48</v>
      </c>
      <c r="G8">
        <v>2142.9699999999998</v>
      </c>
      <c r="H8">
        <v>2089.0958352214479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4571.5299999999997</v>
      </c>
      <c r="G9">
        <v>4507.6099999999988</v>
      </c>
      <c r="H9">
        <v>4439.9399999999978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150</v>
      </c>
      <c r="C2">
        <v>0</v>
      </c>
      <c r="D2">
        <v>54.264000000000003</v>
      </c>
      <c r="E2">
        <v>71.61000000000007</v>
      </c>
      <c r="F2">
        <v>126.70083522144731</v>
      </c>
      <c r="G2">
        <v>132.39064821144649</v>
      </c>
    </row>
    <row r="3">
      <c r="A3">
        <v>5</v>
      </c>
      <c r="B3">
        <v>75</v>
      </c>
      <c r="C3">
        <v>0</v>
      </c>
      <c r="D3">
        <v>0</v>
      </c>
      <c r="E3">
        <v>0</v>
      </c>
      <c r="F3">
        <v>0</v>
      </c>
      <c r="G3">
        <v>75</v>
      </c>
    </row>
    <row r="4">
      <c r="A4">
        <v>6</v>
      </c>
      <c r="B4">
        <v>75</v>
      </c>
      <c r="C4">
        <v>0</v>
      </c>
      <c r="D4">
        <v>0</v>
      </c>
      <c r="E4">
        <v>49.361999999999917</v>
      </c>
      <c r="F4">
        <v>73.372164778552673</v>
      </c>
      <c r="G4">
        <v>73.372164778552673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5288.0388399998837</v>
      </c>
      <c r="C2">
        <v>13947.11094</v>
      </c>
      <c r="D2">
        <v>17218.779579999951</v>
      </c>
      <c r="E2">
        <v>17416.628909999919</v>
      </c>
      <c r="F2">
        <v>15722.700531737641</v>
      </c>
      <c r="G2">
        <v>69593.258801737393</v>
      </c>
    </row>
    <row r="3">
      <c r="A3" t="s">
        <v>276</v>
      </c>
      <c r="B3">
        <v>453.18139999998988</v>
      </c>
      <c r="C3">
        <v>925.01024000000007</v>
      </c>
      <c r="D3">
        <v>1022.29582</v>
      </c>
      <c r="E3">
        <v>920.85209999999984</v>
      </c>
      <c r="F3">
        <v>739.60991999999874</v>
      </c>
      <c r="G3">
        <v>4060.9494799999879</v>
      </c>
    </row>
    <row r="4">
      <c r="A4" t="s">
        <v>277</v>
      </c>
      <c r="B4">
        <v>592.73561450213037</v>
      </c>
      <c r="C4">
        <v>439.26771892606001</v>
      </c>
      <c r="D4">
        <v>466.61333998264593</v>
      </c>
      <c r="E4">
        <v>624.32375259239996</v>
      </c>
      <c r="F4">
        <v>419.43905238704002</v>
      </c>
      <c r="G4">
        <v>2542.3794783902758</v>
      </c>
    </row>
    <row r="5">
      <c r="A5" t="s">
        <v>278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279</v>
      </c>
      <c r="B6">
        <v>0</v>
      </c>
      <c r="C6">
        <v>98.422962059999989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4903.2587599999997</v>
      </c>
      <c r="C7">
        <v>9647.45586</v>
      </c>
      <c r="D7">
        <v>4276.4956000000002</v>
      </c>
      <c r="E7">
        <v>3548.357039999999</v>
      </c>
      <c r="F7">
        <v>1398.8620800000001</v>
      </c>
      <c r="G7">
        <v>23774.429339999999</v>
      </c>
    </row>
    <row r="8">
      <c r="A8" t="s">
        <v>281</v>
      </c>
      <c r="B8">
        <v>0</v>
      </c>
      <c r="C8">
        <v>0</v>
      </c>
      <c r="D8">
        <v>115.78747189224831</v>
      </c>
      <c r="E8">
        <v>275.14887890467679</v>
      </c>
      <c r="F8">
        <v>281.81824563378871</v>
      </c>
      <c r="G8">
        <v>672.75459643071383</v>
      </c>
    </row>
    <row r="9">
      <c r="A9" t="s">
        <v>282</v>
      </c>
      <c r="B9">
        <v>77.055832440575983</v>
      </c>
      <c r="C9">
        <v>115.51346181043201</v>
      </c>
      <c r="D9">
        <v>148.21860322315001</v>
      </c>
      <c r="E9">
        <v>193.51109218079</v>
      </c>
      <c r="F9">
        <v>201.20981110000201</v>
      </c>
      <c r="G9">
        <v>735.50880075495002</v>
      </c>
    </row>
    <row r="10">
      <c r="A10" t="s">
        <v>283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132.44283999999999</v>
      </c>
      <c r="C12">
        <v>361.04507999999998</v>
      </c>
      <c r="D12">
        <v>388.98899999999998</v>
      </c>
      <c r="E12">
        <v>390.54730000000012</v>
      </c>
      <c r="F12">
        <v>333.82173</v>
      </c>
      <c r="G12">
        <v>1606.8459499999999</v>
      </c>
    </row>
    <row r="13">
      <c r="A13" t="s">
        <v>286</v>
      </c>
      <c r="B13">
        <v>0</v>
      </c>
      <c r="C13">
        <v>0</v>
      </c>
      <c r="D13">
        <v>2.9759750034180898</v>
      </c>
      <c r="E13">
        <v>9.3456572017269224</v>
      </c>
      <c r="F13">
        <v>14.30431114671654</v>
      </c>
      <c r="G13">
        <v>26.625943351861551</v>
      </c>
    </row>
    <row r="14">
      <c r="A14" t="s">
        <v>287</v>
      </c>
      <c r="B14">
        <v>785.56055199998264</v>
      </c>
      <c r="C14">
        <v>2072.2041059999988</v>
      </c>
      <c r="D14">
        <v>2558.3083119999928</v>
      </c>
      <c r="E14">
        <v>2587.1201549999869</v>
      </c>
      <c r="F14">
        <v>2335.6591990865109</v>
      </c>
      <c r="G14">
        <v>10338.852324086471</v>
      </c>
    </row>
    <row r="15">
      <c r="A15" t="s">
        <v>288</v>
      </c>
      <c r="B15">
        <v>0</v>
      </c>
      <c r="C15">
        <v>0</v>
      </c>
      <c r="D15">
        <v>26.726303999999448</v>
      </c>
      <c r="E15">
        <v>80.014342360466685</v>
      </c>
      <c r="F15">
        <v>120.7550390099931</v>
      </c>
      <c r="G15">
        <v>227.4956853704592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45540.571320000126</v>
      </c>
      <c r="C17">
        <v>25324.459159999991</v>
      </c>
      <c r="D17">
        <v>13318.02936</v>
      </c>
      <c r="E17">
        <v>7265.4064000000089</v>
      </c>
      <c r="F17">
        <v>1191.3379504067491</v>
      </c>
      <c r="G17">
        <v>92639.804190406896</v>
      </c>
    </row>
    <row r="18">
      <c r="A18" t="s">
        <v>291</v>
      </c>
      <c r="B18">
        <v>-0</v>
      </c>
      <c r="C18">
        <v>-4296.0808800000004</v>
      </c>
      <c r="D18">
        <v>-7259.5297199999986</v>
      </c>
      <c r="E18">
        <v>-9101.3207699999984</v>
      </c>
      <c r="F18">
        <v>-9680.7017918951697</v>
      </c>
      <c r="G18">
        <v>-30337.63316189517</v>
      </c>
    </row>
    <row r="19">
      <c r="A19" t="s">
        <v>292</v>
      </c>
      <c r="B19">
        <v>57772.845158942699</v>
      </c>
      <c r="C19">
        <v>48647.20366319648</v>
      </c>
      <c r="D19">
        <v>32293.38831230142</v>
      </c>
      <c r="E19">
        <v>24274.40624147997</v>
      </c>
      <c r="F19">
        <v>13089.369602363269</v>
      </c>
      <c r="G19">
        <v>176077.21297828379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>
        <v>0</v>
      </c>
      <c r="D2">
        <v>222.78</v>
      </c>
      <c r="E2">
        <v>263.82999999999998</v>
      </c>
      <c r="F2" t="s">
        <v>30</v>
      </c>
      <c r="G2" t="s">
        <v>31</v>
      </c>
      <c r="T2" t="b">
        <v>0</v>
      </c>
    </row>
    <row r="3">
      <c r="A3" t="s">
        <v>32</v>
      </c>
      <c r="B3">
        <v>0</v>
      </c>
      <c r="D3">
        <v>64.079999999999998</v>
      </c>
      <c r="E3">
        <v>369.45999999999998</v>
      </c>
      <c r="F3" t="s">
        <v>33</v>
      </c>
      <c r="G3" t="s">
        <v>34</v>
      </c>
      <c r="T3" t="b">
        <v>0</v>
      </c>
    </row>
    <row r="4">
      <c r="A4" t="s">
        <v>35</v>
      </c>
      <c r="B4">
        <v>1</v>
      </c>
      <c r="C4">
        <v>38</v>
      </c>
      <c r="D4">
        <v>8.0500000000000007</v>
      </c>
      <c r="E4">
        <v>45.280000000000001</v>
      </c>
      <c r="F4" t="s">
        <v>36</v>
      </c>
      <c r="G4" t="s">
        <v>37</v>
      </c>
      <c r="H4">
        <v>218.4524038337623</v>
      </c>
      <c r="I4">
        <v>216.5968522834458</v>
      </c>
      <c r="J4">
        <v>227.08331177197229</v>
      </c>
      <c r="K4">
        <v>216.5968522834458</v>
      </c>
      <c r="L4">
        <v>26.035812905989282</v>
      </c>
      <c r="M4">
        <v>25.502764368310679</v>
      </c>
      <c r="N4">
        <v>24.102523203799361</v>
      </c>
      <c r="O4">
        <v>24.136021492972851</v>
      </c>
      <c r="P4">
        <v>0</v>
      </c>
      <c r="R4">
        <v>2050</v>
      </c>
      <c r="S4">
        <v>35.319984573600003</v>
      </c>
      <c r="T4" t="b">
        <v>0</v>
      </c>
      <c r="U4">
        <v>2</v>
      </c>
      <c r="V4">
        <v>0</v>
      </c>
      <c r="Y4">
        <v>0</v>
      </c>
      <c r="Z4">
        <v>0</v>
      </c>
      <c r="AA4">
        <v>0</v>
      </c>
      <c r="AB4">
        <v>0</v>
      </c>
      <c r="AC4">
        <v>114.5669171644701</v>
      </c>
    </row>
    <row r="5">
      <c r="A5" t="s">
        <v>38</v>
      </c>
      <c r="B5">
        <v>1</v>
      </c>
      <c r="C5">
        <v>42</v>
      </c>
      <c r="D5">
        <v>38.100000000000001</v>
      </c>
      <c r="E5">
        <v>179.47</v>
      </c>
      <c r="F5" t="s">
        <v>39</v>
      </c>
      <c r="G5" t="s">
        <v>34</v>
      </c>
      <c r="H5">
        <v>150</v>
      </c>
      <c r="I5">
        <v>104.5904604827637</v>
      </c>
      <c r="J5">
        <v>151.78504754763719</v>
      </c>
      <c r="K5">
        <v>104.5904604827637</v>
      </c>
      <c r="L5">
        <v>25</v>
      </c>
      <c r="M5">
        <v>21.240050901800029</v>
      </c>
      <c r="N5">
        <v>19.26951795991317</v>
      </c>
      <c r="O5">
        <v>19.26464852203285</v>
      </c>
      <c r="P5">
        <v>0</v>
      </c>
      <c r="R5">
        <v>2030</v>
      </c>
      <c r="S5">
        <v>471.40957474247989</v>
      </c>
      <c r="T5" t="b">
        <v>0</v>
      </c>
      <c r="U5">
        <v>2</v>
      </c>
      <c r="V5">
        <v>0</v>
      </c>
      <c r="Y5">
        <v>49.549999999999997</v>
      </c>
      <c r="Z5">
        <v>11.92600000000002</v>
      </c>
      <c r="AA5">
        <v>52.259999999999998</v>
      </c>
      <c r="AB5">
        <v>54.120000000000367</v>
      </c>
      <c r="AC5">
        <v>56.32</v>
      </c>
    </row>
    <row r="6">
      <c r="A6" t="s">
        <v>40</v>
      </c>
      <c r="B6">
        <v>0</v>
      </c>
      <c r="D6">
        <v>37.229999999999997</v>
      </c>
      <c r="E6">
        <v>45.280000000000001</v>
      </c>
      <c r="F6" t="s">
        <v>41</v>
      </c>
      <c r="G6" t="s">
        <v>42</v>
      </c>
      <c r="T6" t="b">
        <v>0</v>
      </c>
    </row>
    <row r="7">
      <c r="A7" t="s">
        <v>43</v>
      </c>
      <c r="B7">
        <v>0</v>
      </c>
      <c r="D7">
        <v>141.37</v>
      </c>
      <c r="E7">
        <v>179.47</v>
      </c>
      <c r="F7" t="s">
        <v>44</v>
      </c>
      <c r="G7" t="s">
        <v>45</v>
      </c>
      <c r="T7" t="b">
        <v>0</v>
      </c>
    </row>
    <row r="8">
      <c r="A8" t="s">
        <v>46</v>
      </c>
      <c r="B8">
        <v>0</v>
      </c>
      <c r="D8">
        <v>160.66</v>
      </c>
      <c r="E8">
        <v>189.69</v>
      </c>
      <c r="F8" t="s">
        <v>47</v>
      </c>
      <c r="G8" t="s">
        <v>45</v>
      </c>
      <c r="T8" t="b">
        <v>0</v>
      </c>
    </row>
    <row r="9">
      <c r="A9" t="s">
        <v>48</v>
      </c>
      <c r="B9">
        <v>0</v>
      </c>
      <c r="D9">
        <v>305.38</v>
      </c>
      <c r="E9">
        <v>369.45999999999998</v>
      </c>
      <c r="F9" t="s">
        <v>49</v>
      </c>
      <c r="G9" t="s">
        <v>45</v>
      </c>
      <c r="T9" t="b">
        <v>0</v>
      </c>
    </row>
    <row r="10">
      <c r="A10" t="s">
        <v>50</v>
      </c>
      <c r="B10">
        <v>0</v>
      </c>
      <c r="D10">
        <v>93.099999999999994</v>
      </c>
      <c r="E10">
        <v>361.88</v>
      </c>
      <c r="F10" t="s">
        <v>51</v>
      </c>
      <c r="G10" t="s">
        <v>52</v>
      </c>
      <c r="T10" t="b">
        <v>0</v>
      </c>
    </row>
    <row r="11">
      <c r="A11" t="s">
        <v>53</v>
      </c>
      <c r="B11">
        <v>0</v>
      </c>
      <c r="D11">
        <v>295.43000000000001</v>
      </c>
      <c r="E11">
        <v>336.49000000000001</v>
      </c>
      <c r="F11" t="s">
        <v>54</v>
      </c>
      <c r="G11" t="s">
        <v>55</v>
      </c>
      <c r="T11" t="b">
        <v>0</v>
      </c>
    </row>
    <row r="12">
      <c r="A12" t="s">
        <v>56</v>
      </c>
      <c r="B12">
        <v>0</v>
      </c>
      <c r="D12">
        <v>173.15000000000001</v>
      </c>
      <c r="E12">
        <v>463.39999999999998</v>
      </c>
      <c r="F12" t="s">
        <v>57</v>
      </c>
      <c r="G12" t="s">
        <v>58</v>
      </c>
      <c r="T12" t="b">
        <v>0</v>
      </c>
    </row>
    <row r="13">
      <c r="A13" t="s">
        <v>59</v>
      </c>
      <c r="B13">
        <v>0</v>
      </c>
      <c r="D13">
        <v>99.730000000000004</v>
      </c>
      <c r="E13">
        <v>151.34999999999999</v>
      </c>
      <c r="F13" t="s">
        <v>60</v>
      </c>
      <c r="G13" t="s">
        <v>61</v>
      </c>
      <c r="T13" t="b">
        <v>0</v>
      </c>
    </row>
    <row r="14">
      <c r="A14" t="s">
        <v>62</v>
      </c>
      <c r="B14">
        <v>0</v>
      </c>
      <c r="D14">
        <v>288.58999999999997</v>
      </c>
      <c r="E14">
        <v>496.16000000000003</v>
      </c>
      <c r="F14" t="s">
        <v>63</v>
      </c>
      <c r="G14" t="s">
        <v>31</v>
      </c>
      <c r="T14" t="b">
        <v>0</v>
      </c>
    </row>
    <row r="15">
      <c r="A15" t="s">
        <v>64</v>
      </c>
      <c r="B15">
        <v>0</v>
      </c>
      <c r="D15">
        <v>25.02</v>
      </c>
      <c r="E15">
        <v>189.66</v>
      </c>
      <c r="F15" t="s">
        <v>65</v>
      </c>
      <c r="G15" t="s">
        <v>37</v>
      </c>
      <c r="T15" t="b">
        <v>0</v>
      </c>
    </row>
    <row r="16">
      <c r="A16" t="s">
        <v>66</v>
      </c>
      <c r="B16">
        <v>0</v>
      </c>
      <c r="D16">
        <v>142.80000000000001</v>
      </c>
      <c r="E16">
        <v>228.47999999999999</v>
      </c>
      <c r="F16" t="s">
        <v>67</v>
      </c>
      <c r="G16" t="s">
        <v>45</v>
      </c>
      <c r="T16" t="b">
        <v>0</v>
      </c>
    </row>
    <row r="17">
      <c r="A17" t="s">
        <v>68</v>
      </c>
      <c r="B17">
        <v>0</v>
      </c>
      <c r="D17">
        <v>332.5</v>
      </c>
      <c r="E17">
        <v>561.50999999999999</v>
      </c>
      <c r="F17" t="s">
        <v>69</v>
      </c>
      <c r="G17" t="s">
        <v>31</v>
      </c>
      <c r="T17" t="b">
        <v>0</v>
      </c>
    </row>
    <row r="18">
      <c r="A18" t="s">
        <v>70</v>
      </c>
      <c r="B18">
        <v>0</v>
      </c>
      <c r="D18">
        <v>165.53</v>
      </c>
      <c r="E18">
        <v>302.06</v>
      </c>
      <c r="F18" t="s">
        <v>71</v>
      </c>
      <c r="G18" t="s">
        <v>55</v>
      </c>
      <c r="T18" t="b">
        <v>0</v>
      </c>
    </row>
    <row r="19">
      <c r="A19" t="s">
        <v>72</v>
      </c>
      <c r="B19">
        <v>0</v>
      </c>
      <c r="D19">
        <v>29.030000000000001</v>
      </c>
      <c r="E19">
        <v>189.69</v>
      </c>
      <c r="F19" t="s">
        <v>73</v>
      </c>
      <c r="G19" t="s">
        <v>34</v>
      </c>
      <c r="T19" t="b">
        <v>0</v>
      </c>
    </row>
    <row r="20">
      <c r="A20" t="s">
        <v>74</v>
      </c>
      <c r="B20">
        <v>0</v>
      </c>
      <c r="D20">
        <v>78.120000000000005</v>
      </c>
      <c r="E20">
        <v>78.120000000000005</v>
      </c>
      <c r="F20" t="s">
        <v>75</v>
      </c>
      <c r="G20" t="s">
        <v>61</v>
      </c>
      <c r="T20" t="b">
        <v>0</v>
      </c>
    </row>
    <row r="21">
      <c r="A21" t="s">
        <v>76</v>
      </c>
      <c r="B21">
        <v>0</v>
      </c>
      <c r="D21">
        <v>134.62</v>
      </c>
      <c r="E21">
        <v>447.88999999999999</v>
      </c>
      <c r="F21" t="s">
        <v>77</v>
      </c>
      <c r="G21" t="s">
        <v>31</v>
      </c>
      <c r="T21" t="b">
        <v>0</v>
      </c>
    </row>
    <row r="22">
      <c r="A22" t="s">
        <v>78</v>
      </c>
      <c r="B22">
        <v>1</v>
      </c>
      <c r="C22">
        <v>38</v>
      </c>
      <c r="D22">
        <v>186.05000000000001</v>
      </c>
      <c r="E22">
        <v>297.07999999999998</v>
      </c>
      <c r="F22" t="s">
        <v>79</v>
      </c>
      <c r="G22" t="s">
        <v>55</v>
      </c>
      <c r="H22">
        <v>150</v>
      </c>
      <c r="I22">
        <v>83.176682540918137</v>
      </c>
      <c r="J22">
        <v>238.75987100735821</v>
      </c>
      <c r="K22">
        <v>83.176682540918137</v>
      </c>
      <c r="L22">
        <v>25</v>
      </c>
      <c r="M22">
        <v>15.521725256131591</v>
      </c>
      <c r="N22">
        <v>27.357528862537919</v>
      </c>
      <c r="O22">
        <v>15.49390042686974</v>
      </c>
      <c r="P22">
        <v>1</v>
      </c>
      <c r="Q22">
        <v>2045</v>
      </c>
      <c r="R22">
        <v>2045</v>
      </c>
      <c r="S22">
        <v>310.44074698728002</v>
      </c>
      <c r="T22" t="b">
        <v>0</v>
      </c>
      <c r="U22">
        <v>2</v>
      </c>
      <c r="V22">
        <v>0</v>
      </c>
      <c r="W22">
        <v>50</v>
      </c>
      <c r="X22">
        <v>10</v>
      </c>
      <c r="Y22">
        <v>0</v>
      </c>
      <c r="Z22">
        <v>0</v>
      </c>
      <c r="AA22">
        <v>0</v>
      </c>
      <c r="AB22">
        <v>96.35737246827378</v>
      </c>
      <c r="AC22">
        <v>110.84999999999999</v>
      </c>
    </row>
    <row r="23">
      <c r="A23" t="s">
        <v>80</v>
      </c>
      <c r="B23">
        <v>0</v>
      </c>
      <c r="D23">
        <v>350.20999999999998</v>
      </c>
      <c r="E23">
        <v>491.30000000000001</v>
      </c>
      <c r="F23" t="s">
        <v>81</v>
      </c>
      <c r="G23" t="s">
        <v>82</v>
      </c>
      <c r="T23" t="b">
        <v>0</v>
      </c>
    </row>
    <row r="24">
      <c r="A24" t="s">
        <v>83</v>
      </c>
      <c r="B24">
        <v>0</v>
      </c>
      <c r="D24">
        <v>229</v>
      </c>
      <c r="E24">
        <v>561.50999999999999</v>
      </c>
      <c r="F24" t="s">
        <v>84</v>
      </c>
      <c r="G24" t="s">
        <v>31</v>
      </c>
      <c r="T24" t="b">
        <v>0</v>
      </c>
    </row>
    <row r="25">
      <c r="A25" t="s">
        <v>85</v>
      </c>
      <c r="B25">
        <v>1</v>
      </c>
      <c r="C25">
        <v>42</v>
      </c>
      <c r="D25">
        <v>12.050000000000001</v>
      </c>
      <c r="E25">
        <v>110.44</v>
      </c>
      <c r="F25" t="s">
        <v>86</v>
      </c>
      <c r="G25" t="s">
        <v>55</v>
      </c>
      <c r="H25">
        <v>150</v>
      </c>
      <c r="I25">
        <v>104.4567885677442</v>
      </c>
      <c r="J25">
        <v>153.4619109159151</v>
      </c>
      <c r="K25">
        <v>104.4567885677442</v>
      </c>
      <c r="L25">
        <v>25</v>
      </c>
      <c r="M25">
        <v>22.201490101073642</v>
      </c>
      <c r="N25">
        <v>22.189588053825378</v>
      </c>
      <c r="O25">
        <v>22.20675066979787</v>
      </c>
      <c r="P25">
        <v>0</v>
      </c>
      <c r="R25">
        <v>2035</v>
      </c>
      <c r="S25">
        <v>216.29824905216</v>
      </c>
      <c r="T25" t="b">
        <v>0</v>
      </c>
      <c r="U25">
        <v>2</v>
      </c>
      <c r="V25">
        <v>0</v>
      </c>
      <c r="Y25">
        <v>0</v>
      </c>
      <c r="Z25">
        <v>135.82000000000349</v>
      </c>
      <c r="AA25">
        <v>131.33000000000351</v>
      </c>
      <c r="AB25">
        <v>11.79114821144621</v>
      </c>
      <c r="AC25">
        <v>9.3484378441890215</v>
      </c>
    </row>
    <row r="26">
      <c r="A26" t="s">
        <v>87</v>
      </c>
      <c r="B26">
        <v>1</v>
      </c>
      <c r="C26">
        <v>38</v>
      </c>
      <c r="D26">
        <v>328.74000000000001</v>
      </c>
      <c r="E26">
        <v>448.82999999999998</v>
      </c>
      <c r="F26" t="s">
        <v>88</v>
      </c>
      <c r="G26" t="s">
        <v>58</v>
      </c>
      <c r="H26">
        <v>150</v>
      </c>
      <c r="I26">
        <v>82.280749436043592</v>
      </c>
      <c r="J26">
        <v>178.21231754435431</v>
      </c>
      <c r="K26">
        <v>82.280749436043592</v>
      </c>
      <c r="L26">
        <v>25</v>
      </c>
      <c r="M26">
        <v>13.73544154771588</v>
      </c>
      <c r="N26">
        <v>24.25383500382237</v>
      </c>
      <c r="O26">
        <v>13.27721412887913</v>
      </c>
      <c r="P26">
        <v>1</v>
      </c>
      <c r="Q26">
        <v>2045</v>
      </c>
      <c r="R26">
        <v>2045</v>
      </c>
      <c r="S26">
        <v>458.75158822584001</v>
      </c>
      <c r="T26" t="b">
        <v>0</v>
      </c>
      <c r="U26">
        <v>2</v>
      </c>
      <c r="V26">
        <v>0</v>
      </c>
      <c r="W26">
        <v>50</v>
      </c>
      <c r="X26">
        <v>10</v>
      </c>
      <c r="Y26">
        <v>0</v>
      </c>
      <c r="Z26">
        <v>0</v>
      </c>
      <c r="AA26">
        <v>0</v>
      </c>
      <c r="AB26">
        <v>116.6688517885535</v>
      </c>
      <c r="AC26">
        <v>117.721562155811</v>
      </c>
    </row>
    <row r="27">
      <c r="A27" t="s">
        <v>89</v>
      </c>
      <c r="B27">
        <v>0</v>
      </c>
      <c r="D27">
        <v>41.049999999999997</v>
      </c>
      <c r="E27">
        <v>263.82999999999998</v>
      </c>
      <c r="F27" t="s">
        <v>90</v>
      </c>
      <c r="G27" t="s">
        <v>31</v>
      </c>
      <c r="T27" t="b">
        <v>0</v>
      </c>
    </row>
    <row r="28">
      <c r="A28" t="s">
        <v>91</v>
      </c>
      <c r="B28">
        <v>0</v>
      </c>
      <c r="D28">
        <v>222.05000000000001</v>
      </c>
      <c r="E28">
        <v>245.06</v>
      </c>
      <c r="F28" t="s">
        <v>92</v>
      </c>
      <c r="G28" t="s">
        <v>34</v>
      </c>
      <c r="T28" t="b">
        <v>0</v>
      </c>
    </row>
    <row r="29">
      <c r="A29" t="s">
        <v>93</v>
      </c>
      <c r="B29">
        <v>0</v>
      </c>
      <c r="D29">
        <v>31.510000000000002</v>
      </c>
      <c r="E29">
        <v>562.63</v>
      </c>
      <c r="F29" t="s">
        <v>94</v>
      </c>
      <c r="G29" t="s">
        <v>55</v>
      </c>
      <c r="T29" t="b">
        <v>0</v>
      </c>
    </row>
    <row r="30">
      <c r="A30" t="s">
        <v>95</v>
      </c>
      <c r="B30">
        <v>0</v>
      </c>
      <c r="D30">
        <v>209.77000000000001</v>
      </c>
      <c r="E30">
        <v>326.42000000000002</v>
      </c>
      <c r="F30" t="s">
        <v>96</v>
      </c>
      <c r="G30" t="s">
        <v>52</v>
      </c>
      <c r="T30" t="b">
        <v>0</v>
      </c>
    </row>
    <row r="31">
      <c r="A31" t="s">
        <v>97</v>
      </c>
      <c r="B31">
        <v>0</v>
      </c>
      <c r="D31">
        <v>120.09</v>
      </c>
      <c r="E31">
        <v>448.82999999999998</v>
      </c>
      <c r="F31" t="s">
        <v>98</v>
      </c>
      <c r="G31" t="s">
        <v>61</v>
      </c>
      <c r="T31" t="b">
        <v>0</v>
      </c>
    </row>
    <row r="32">
      <c r="A32" t="s">
        <v>99</v>
      </c>
      <c r="B32">
        <v>0</v>
      </c>
      <c r="D32">
        <v>85.739999999999995</v>
      </c>
      <c r="E32">
        <v>147.41</v>
      </c>
      <c r="F32" t="s">
        <v>100</v>
      </c>
      <c r="G32" t="s">
        <v>34</v>
      </c>
      <c r="T32" t="b">
        <v>0</v>
      </c>
    </row>
    <row r="33">
      <c r="A33" t="s">
        <v>101</v>
      </c>
      <c r="B33">
        <v>0</v>
      </c>
      <c r="D33">
        <v>90.599999999999994</v>
      </c>
      <c r="E33">
        <v>348.87</v>
      </c>
      <c r="F33" t="s">
        <v>102</v>
      </c>
      <c r="G33" t="s">
        <v>34</v>
      </c>
      <c r="T33" t="b">
        <v>0</v>
      </c>
    </row>
    <row r="34">
      <c r="A34" t="s">
        <v>103</v>
      </c>
      <c r="B34">
        <v>1</v>
      </c>
      <c r="C34">
        <v>18</v>
      </c>
      <c r="D34">
        <v>0</v>
      </c>
      <c r="E34">
        <v>100.59999999999999</v>
      </c>
      <c r="F34" t="s">
        <v>104</v>
      </c>
      <c r="G34" t="s">
        <v>34</v>
      </c>
      <c r="H34">
        <v>150</v>
      </c>
      <c r="I34">
        <v>150</v>
      </c>
      <c r="J34">
        <v>168.45240383376219</v>
      </c>
      <c r="K34">
        <v>150</v>
      </c>
      <c r="L34">
        <v>25</v>
      </c>
      <c r="M34">
        <v>25</v>
      </c>
      <c r="N34">
        <v>16.035812905989271</v>
      </c>
      <c r="O34">
        <v>16.078972943609589</v>
      </c>
      <c r="P34">
        <v>1</v>
      </c>
      <c r="Q34">
        <v>2050</v>
      </c>
      <c r="R34">
        <v>2030</v>
      </c>
      <c r="S34">
        <v>121.3260397596504</v>
      </c>
      <c r="T34" t="b">
        <v>0</v>
      </c>
      <c r="U34">
        <v>2</v>
      </c>
      <c r="V34">
        <v>0</v>
      </c>
      <c r="W34">
        <v>50</v>
      </c>
      <c r="X34">
        <v>10</v>
      </c>
      <c r="Y34">
        <v>19.63799999999847</v>
      </c>
      <c r="Z34">
        <v>24.60599999999647</v>
      </c>
      <c r="AA34">
        <v>25.800000000000001</v>
      </c>
      <c r="AB34">
        <v>26.413979320278951</v>
      </c>
      <c r="AC34">
        <v>26.413979320278969</v>
      </c>
    </row>
    <row r="35">
      <c r="A35" t="s">
        <v>105</v>
      </c>
      <c r="B35">
        <v>0</v>
      </c>
      <c r="D35">
        <v>109.53</v>
      </c>
      <c r="E35">
        <v>297.07999999999998</v>
      </c>
      <c r="F35" t="s">
        <v>106</v>
      </c>
      <c r="G35" t="s">
        <v>107</v>
      </c>
      <c r="T35" t="b">
        <v>0</v>
      </c>
    </row>
    <row r="36">
      <c r="A36" t="s">
        <v>108</v>
      </c>
      <c r="B36">
        <v>1</v>
      </c>
      <c r="C36">
        <v>30</v>
      </c>
      <c r="D36">
        <v>65.689999999999998</v>
      </c>
      <c r="E36">
        <v>80.230000000000004</v>
      </c>
      <c r="F36" t="s">
        <v>109</v>
      </c>
      <c r="G36" t="s">
        <v>34</v>
      </c>
      <c r="H36">
        <v>150</v>
      </c>
      <c r="I36">
        <v>108.84972209357031</v>
      </c>
      <c r="J36">
        <v>142.61202987447379</v>
      </c>
      <c r="K36">
        <v>108.84972209357031</v>
      </c>
      <c r="L36">
        <v>25</v>
      </c>
      <c r="M36">
        <v>19.979066503117931</v>
      </c>
      <c r="N36">
        <v>20.615834690231029</v>
      </c>
      <c r="O36">
        <v>19.584347759664361</v>
      </c>
      <c r="P36">
        <v>0</v>
      </c>
      <c r="R36">
        <v>2035</v>
      </c>
      <c r="S36">
        <v>115.19613143949999</v>
      </c>
      <c r="T36" t="b">
        <v>0</v>
      </c>
      <c r="U36">
        <v>2</v>
      </c>
      <c r="V36">
        <v>0</v>
      </c>
      <c r="Y36">
        <v>0</v>
      </c>
      <c r="Z36">
        <v>0</v>
      </c>
      <c r="AA36">
        <v>55.921999999996594</v>
      </c>
      <c r="AB36">
        <v>63.920000000000897</v>
      </c>
      <c r="AC36">
        <v>67.67000000000084</v>
      </c>
    </row>
    <row r="37">
      <c r="A37" t="s">
        <v>110</v>
      </c>
      <c r="B37">
        <v>0</v>
      </c>
      <c r="D37">
        <v>134.71000000000001</v>
      </c>
      <c r="E37">
        <v>263.91000000000003</v>
      </c>
      <c r="F37" t="s">
        <v>111</v>
      </c>
      <c r="G37" t="s">
        <v>52</v>
      </c>
      <c r="T37" t="b">
        <v>0</v>
      </c>
    </row>
    <row r="38">
      <c r="A38" t="s">
        <v>112</v>
      </c>
      <c r="B38">
        <v>0</v>
      </c>
      <c r="D38">
        <v>61.670000000000002</v>
      </c>
      <c r="E38">
        <v>147.41</v>
      </c>
      <c r="F38" t="s">
        <v>113</v>
      </c>
      <c r="G38" t="s">
        <v>45</v>
      </c>
      <c r="T38" t="b">
        <v>0</v>
      </c>
    </row>
    <row r="39">
      <c r="A39" t="s">
        <v>114</v>
      </c>
      <c r="B39">
        <v>0</v>
      </c>
      <c r="D39">
        <v>199.06</v>
      </c>
      <c r="E39">
        <v>243.08000000000001</v>
      </c>
      <c r="F39" t="s">
        <v>115</v>
      </c>
      <c r="G39" t="s">
        <v>45</v>
      </c>
      <c r="T39" t="b">
        <v>0</v>
      </c>
    </row>
    <row r="40">
      <c r="A40" t="s">
        <v>116</v>
      </c>
      <c r="B40">
        <v>0</v>
      </c>
      <c r="D40">
        <v>302.32999999999998</v>
      </c>
      <c r="E40">
        <v>423.45999999999998</v>
      </c>
      <c r="F40" t="s">
        <v>117</v>
      </c>
      <c r="G40" t="s">
        <v>118</v>
      </c>
      <c r="T40" t="b">
        <v>0</v>
      </c>
    </row>
    <row r="41">
      <c r="A41" t="s">
        <v>119</v>
      </c>
      <c r="B41">
        <v>0</v>
      </c>
      <c r="D41">
        <v>167.02000000000001</v>
      </c>
      <c r="E41">
        <v>518.05999999999995</v>
      </c>
      <c r="F41" t="s">
        <v>120</v>
      </c>
      <c r="G41" t="s">
        <v>58</v>
      </c>
      <c r="T41" t="b">
        <v>0</v>
      </c>
    </row>
    <row r="42">
      <c r="A42" t="s">
        <v>121</v>
      </c>
      <c r="B42">
        <v>0</v>
      </c>
      <c r="D42">
        <v>85.340000000000003</v>
      </c>
      <c r="E42">
        <v>110.44</v>
      </c>
      <c r="F42" t="s">
        <v>122</v>
      </c>
      <c r="G42" t="s">
        <v>107</v>
      </c>
      <c r="T42" t="b">
        <v>0</v>
      </c>
    </row>
    <row r="43">
      <c r="A43" t="s">
        <v>123</v>
      </c>
      <c r="B43">
        <v>0</v>
      </c>
      <c r="D43">
        <v>4</v>
      </c>
      <c r="E43">
        <v>233.52000000000001</v>
      </c>
      <c r="F43" t="s">
        <v>124</v>
      </c>
      <c r="G43" t="s">
        <v>45</v>
      </c>
      <c r="T43" t="b">
        <v>0</v>
      </c>
    </row>
    <row r="44">
      <c r="A44" t="s">
        <v>125</v>
      </c>
      <c r="B44">
        <v>0</v>
      </c>
      <c r="D44">
        <v>41.520000000000003</v>
      </c>
      <c r="E44">
        <v>345.18000000000001</v>
      </c>
      <c r="F44" t="s">
        <v>126</v>
      </c>
      <c r="G44" t="s">
        <v>37</v>
      </c>
      <c r="T44" t="b">
        <v>0</v>
      </c>
    </row>
    <row r="45">
      <c r="A45" t="s">
        <v>127</v>
      </c>
      <c r="B45">
        <v>0</v>
      </c>
      <c r="D45">
        <v>248.75</v>
      </c>
      <c r="E45">
        <v>325.82999999999998</v>
      </c>
      <c r="F45" t="s">
        <v>128</v>
      </c>
      <c r="G45" t="s">
        <v>45</v>
      </c>
      <c r="T45" t="b">
        <v>0</v>
      </c>
    </row>
    <row r="46">
      <c r="A46" t="s">
        <v>129</v>
      </c>
      <c r="B46">
        <v>1</v>
      </c>
      <c r="C46">
        <v>38</v>
      </c>
      <c r="D46">
        <v>42.530000000000001</v>
      </c>
      <c r="E46">
        <v>127.09999999999999</v>
      </c>
      <c r="F46" t="s">
        <v>130</v>
      </c>
      <c r="G46" t="s">
        <v>37</v>
      </c>
      <c r="H46">
        <v>151.78504754763719</v>
      </c>
      <c r="I46">
        <v>116.69443014836411</v>
      </c>
      <c r="J46">
        <v>196.5059671536271</v>
      </c>
      <c r="K46">
        <v>116.69443014836411</v>
      </c>
      <c r="L46">
        <v>19.269517959913141</v>
      </c>
      <c r="M46">
        <v>15.899505083038751</v>
      </c>
      <c r="N46">
        <v>16.274665654203051</v>
      </c>
      <c r="O46">
        <v>16.104662529081889</v>
      </c>
      <c r="P46">
        <v>0</v>
      </c>
      <c r="R46">
        <v>2035</v>
      </c>
      <c r="S46">
        <v>242.69618932306199</v>
      </c>
      <c r="T46" t="b">
        <v>0</v>
      </c>
      <c r="U46">
        <v>2</v>
      </c>
      <c r="V46">
        <v>0</v>
      </c>
      <c r="Y46">
        <v>0</v>
      </c>
      <c r="Z46">
        <v>11.92600000000002</v>
      </c>
      <c r="AA46">
        <v>106.7800000000007</v>
      </c>
      <c r="AB46">
        <v>109.23064821144651</v>
      </c>
      <c r="AC46">
        <v>111.4306482114461</v>
      </c>
    </row>
    <row r="47">
      <c r="A47" t="s">
        <v>131</v>
      </c>
      <c r="B47">
        <v>0</v>
      </c>
      <c r="D47">
        <v>261.07999999999998</v>
      </c>
      <c r="E47">
        <v>347.61000000000001</v>
      </c>
      <c r="F47" t="s">
        <v>132</v>
      </c>
      <c r="G47" t="s">
        <v>42</v>
      </c>
      <c r="T47" t="b">
        <v>0</v>
      </c>
    </row>
    <row r="48">
      <c r="A48" t="s">
        <v>133</v>
      </c>
      <c r="B48">
        <v>0</v>
      </c>
      <c r="D48">
        <v>48.509999999999998</v>
      </c>
      <c r="E48">
        <v>302.06</v>
      </c>
      <c r="F48" t="s">
        <v>134</v>
      </c>
      <c r="G48" t="s">
        <v>107</v>
      </c>
      <c r="T48" t="b">
        <v>0</v>
      </c>
    </row>
    <row r="49">
      <c r="A49" t="s">
        <v>135</v>
      </c>
      <c r="B49">
        <v>1</v>
      </c>
      <c r="C49">
        <v>26</v>
      </c>
      <c r="D49">
        <v>147.03</v>
      </c>
      <c r="E49">
        <v>222.05000000000001</v>
      </c>
      <c r="F49" t="s">
        <v>136</v>
      </c>
      <c r="G49" t="s">
        <v>34</v>
      </c>
      <c r="H49">
        <v>150</v>
      </c>
      <c r="I49">
        <v>68.230718278973612</v>
      </c>
      <c r="J49">
        <v>136.2220811554435</v>
      </c>
      <c r="K49">
        <v>68.230718278973612</v>
      </c>
      <c r="L49">
        <v>25</v>
      </c>
      <c r="M49">
        <v>14.39816335964983</v>
      </c>
      <c r="N49">
        <v>23.78819766162184</v>
      </c>
      <c r="O49">
        <v>13.253160153372139</v>
      </c>
      <c r="P49">
        <v>1</v>
      </c>
      <c r="Q49">
        <v>2040</v>
      </c>
      <c r="R49">
        <v>2040</v>
      </c>
      <c r="S49">
        <v>210.84234466969991</v>
      </c>
      <c r="T49" t="b">
        <v>0</v>
      </c>
      <c r="U49">
        <v>2</v>
      </c>
      <c r="V49">
        <v>0</v>
      </c>
      <c r="W49">
        <v>50</v>
      </c>
      <c r="X49">
        <v>10</v>
      </c>
      <c r="Y49">
        <v>0</v>
      </c>
      <c r="Z49">
        <v>0</v>
      </c>
      <c r="AA49">
        <v>54.520000000000699</v>
      </c>
      <c r="AB49">
        <v>55.110648211446119</v>
      </c>
      <c r="AC49">
        <v>55.110648211446119</v>
      </c>
    </row>
    <row r="50">
      <c r="A50" t="s">
        <v>137</v>
      </c>
      <c r="B50">
        <v>0</v>
      </c>
      <c r="D50">
        <v>229.52000000000001</v>
      </c>
      <c r="E50">
        <v>233.52000000000001</v>
      </c>
      <c r="F50" t="s">
        <v>138</v>
      </c>
      <c r="G50" t="s">
        <v>34</v>
      </c>
      <c r="T50" t="b">
        <v>0</v>
      </c>
    </row>
    <row r="51">
      <c r="A51" t="s">
        <v>139</v>
      </c>
      <c r="B51">
        <v>0</v>
      </c>
      <c r="D51">
        <v>2.5</v>
      </c>
      <c r="E51">
        <v>484.77999999999997</v>
      </c>
      <c r="F51" t="s">
        <v>140</v>
      </c>
      <c r="G51" t="s">
        <v>45</v>
      </c>
      <c r="T51" t="b">
        <v>0</v>
      </c>
    </row>
    <row r="52">
      <c r="A52" t="s">
        <v>141</v>
      </c>
      <c r="B52">
        <v>0</v>
      </c>
      <c r="D52">
        <v>40.560000000000002</v>
      </c>
      <c r="E52">
        <v>336.49000000000001</v>
      </c>
      <c r="F52" t="s">
        <v>142</v>
      </c>
      <c r="G52" t="s">
        <v>107</v>
      </c>
      <c r="T52" t="b">
        <v>0</v>
      </c>
    </row>
    <row r="53">
      <c r="A53" t="s">
        <v>143</v>
      </c>
      <c r="B53">
        <v>0</v>
      </c>
      <c r="D53">
        <v>80.109999999999999</v>
      </c>
      <c r="E53">
        <v>166.22999999999999</v>
      </c>
      <c r="F53" t="s">
        <v>144</v>
      </c>
      <c r="G53" t="s">
        <v>82</v>
      </c>
      <c r="T53" t="b">
        <v>0</v>
      </c>
    </row>
    <row r="54">
      <c r="A54" t="s">
        <v>145</v>
      </c>
      <c r="B54">
        <v>1</v>
      </c>
      <c r="C54">
        <v>30</v>
      </c>
      <c r="D54">
        <v>85.680000000000007</v>
      </c>
      <c r="E54">
        <v>228.47999999999999</v>
      </c>
      <c r="F54" t="s">
        <v>146</v>
      </c>
      <c r="G54" t="s">
        <v>34</v>
      </c>
      <c r="H54">
        <v>150</v>
      </c>
      <c r="I54">
        <v>87.351039791189024</v>
      </c>
      <c r="J54">
        <v>157.6675315344321</v>
      </c>
      <c r="K54">
        <v>87.351039791189024</v>
      </c>
      <c r="L54">
        <v>25</v>
      </c>
      <c r="M54">
        <v>18.302202390233798</v>
      </c>
      <c r="N54">
        <v>25.322260881596801</v>
      </c>
      <c r="O54">
        <v>15.34152481551364</v>
      </c>
      <c r="P54">
        <v>1</v>
      </c>
      <c r="Q54">
        <v>2050</v>
      </c>
      <c r="R54">
        <v>2050</v>
      </c>
      <c r="S54">
        <v>143.82851094527999</v>
      </c>
      <c r="T54" t="b">
        <v>0</v>
      </c>
      <c r="U54">
        <v>2</v>
      </c>
      <c r="V54">
        <v>0</v>
      </c>
      <c r="W54">
        <v>50</v>
      </c>
      <c r="X54">
        <v>10</v>
      </c>
      <c r="Y54">
        <v>0</v>
      </c>
      <c r="Z54">
        <v>0</v>
      </c>
      <c r="AA54">
        <v>0</v>
      </c>
      <c r="AB54">
        <v>0</v>
      </c>
      <c r="AC54">
        <v>73.04000000000066</v>
      </c>
    </row>
    <row r="55">
      <c r="A55" t="s">
        <v>147</v>
      </c>
      <c r="B55">
        <v>0</v>
      </c>
      <c r="D55">
        <v>55.079999999999998</v>
      </c>
      <c r="E55">
        <v>130.69999999999999</v>
      </c>
      <c r="F55" t="s">
        <v>148</v>
      </c>
      <c r="G55" t="s">
        <v>34</v>
      </c>
      <c r="T55" t="b">
        <v>0</v>
      </c>
    </row>
    <row r="56">
      <c r="A56" t="s">
        <v>149</v>
      </c>
      <c r="B56">
        <v>0</v>
      </c>
      <c r="D56">
        <v>339.38999999999999</v>
      </c>
      <c r="E56">
        <v>371.42000000000002</v>
      </c>
      <c r="F56" t="s">
        <v>150</v>
      </c>
      <c r="G56" t="s">
        <v>61</v>
      </c>
      <c r="T56" t="b">
        <v>0</v>
      </c>
    </row>
    <row r="57">
      <c r="A57" t="s">
        <v>151</v>
      </c>
      <c r="B57">
        <v>1</v>
      </c>
      <c r="C57">
        <v>34</v>
      </c>
      <c r="D57">
        <v>57.789999999999999</v>
      </c>
      <c r="E57">
        <v>68.849999999999994</v>
      </c>
      <c r="F57" t="s">
        <v>152</v>
      </c>
      <c r="G57" t="s">
        <v>58</v>
      </c>
      <c r="H57">
        <v>150</v>
      </c>
      <c r="I57">
        <v>137.4783621911773</v>
      </c>
      <c r="J57">
        <v>143.33677043686069</v>
      </c>
      <c r="K57">
        <v>137.4783621911773</v>
      </c>
      <c r="L57">
        <v>25</v>
      </c>
      <c r="M57">
        <v>21.998052829513199</v>
      </c>
      <c r="N57">
        <v>21.839455172588909</v>
      </c>
      <c r="O57">
        <v>21.759017174318629</v>
      </c>
      <c r="P57">
        <v>0</v>
      </c>
      <c r="R57">
        <v>2035</v>
      </c>
      <c r="S57">
        <v>107.7733384344</v>
      </c>
      <c r="T57" t="b">
        <v>0</v>
      </c>
      <c r="U57">
        <v>2</v>
      </c>
      <c r="V57">
        <v>0</v>
      </c>
      <c r="Y57">
        <v>0</v>
      </c>
      <c r="Z57">
        <v>69.469999999999999</v>
      </c>
      <c r="AA57">
        <v>71.61000000000007</v>
      </c>
      <c r="AB57">
        <v>74.209999999999994</v>
      </c>
      <c r="AC57">
        <v>77.280000000000001</v>
      </c>
    </row>
    <row r="58">
      <c r="A58" t="s">
        <v>153</v>
      </c>
      <c r="B58">
        <v>0</v>
      </c>
      <c r="D58">
        <v>30.510000000000002</v>
      </c>
      <c r="E58">
        <v>555.74000000000001</v>
      </c>
      <c r="F58" t="s">
        <v>154</v>
      </c>
      <c r="G58" t="s">
        <v>55</v>
      </c>
      <c r="T58" t="b">
        <v>0</v>
      </c>
    </row>
    <row r="59">
      <c r="A59" t="s">
        <v>155</v>
      </c>
      <c r="B59">
        <v>0</v>
      </c>
      <c r="D59">
        <v>75.609999999999999</v>
      </c>
      <c r="E59">
        <v>130.69999999999999</v>
      </c>
      <c r="F59" t="s">
        <v>156</v>
      </c>
      <c r="G59" t="s">
        <v>45</v>
      </c>
      <c r="T59" t="b">
        <v>0</v>
      </c>
    </row>
    <row r="60">
      <c r="A60" t="s">
        <v>157</v>
      </c>
      <c r="B60">
        <v>1</v>
      </c>
      <c r="C60">
        <v>6</v>
      </c>
      <c r="D60">
        <v>121.13</v>
      </c>
      <c r="E60">
        <v>423.45999999999998</v>
      </c>
      <c r="F60" t="s">
        <v>158</v>
      </c>
      <c r="G60" t="s">
        <v>118</v>
      </c>
      <c r="H60">
        <v>290.18010031444169</v>
      </c>
      <c r="I60">
        <v>121.4375178679657</v>
      </c>
      <c r="J60">
        <v>148.21231754435431</v>
      </c>
      <c r="K60">
        <v>121.4375178679657</v>
      </c>
      <c r="L60">
        <v>35.712276216046938</v>
      </c>
      <c r="M60">
        <v>16.367072358291281</v>
      </c>
      <c r="N60">
        <v>19.25383500382237</v>
      </c>
      <c r="O60">
        <v>16.07556432300969</v>
      </c>
      <c r="P60">
        <v>1</v>
      </c>
      <c r="Q60">
        <v>2050</v>
      </c>
      <c r="R60">
        <v>2045</v>
      </c>
      <c r="S60">
        <v>69.204182979539993</v>
      </c>
      <c r="T60" t="b">
        <v>0</v>
      </c>
      <c r="U60">
        <v>2</v>
      </c>
      <c r="V60">
        <v>0</v>
      </c>
      <c r="W60">
        <v>50</v>
      </c>
      <c r="X60">
        <v>10</v>
      </c>
      <c r="Y60">
        <v>0</v>
      </c>
      <c r="Z60">
        <v>0</v>
      </c>
      <c r="AA60">
        <v>0</v>
      </c>
      <c r="AB60">
        <v>0</v>
      </c>
      <c r="AC60">
        <v>2.0669171644700839</v>
      </c>
    </row>
    <row r="61">
      <c r="A61" t="s">
        <v>159</v>
      </c>
      <c r="B61">
        <v>0</v>
      </c>
      <c r="D61">
        <v>100.59999999999999</v>
      </c>
      <c r="E61">
        <v>100.59999999999999</v>
      </c>
      <c r="F61" t="s">
        <v>160</v>
      </c>
      <c r="G61" t="s">
        <v>45</v>
      </c>
      <c r="T61" t="b">
        <v>0</v>
      </c>
    </row>
    <row r="62">
      <c r="A62" t="s">
        <v>161</v>
      </c>
      <c r="B62">
        <v>0</v>
      </c>
      <c r="D62">
        <v>44.009999999999998</v>
      </c>
      <c r="E62">
        <v>243.08000000000001</v>
      </c>
      <c r="F62" t="s">
        <v>162</v>
      </c>
      <c r="G62" t="s">
        <v>34</v>
      </c>
      <c r="T62" t="b">
        <v>0</v>
      </c>
    </row>
    <row r="63">
      <c r="A63" t="s">
        <v>163</v>
      </c>
      <c r="B63">
        <v>0</v>
      </c>
      <c r="D63">
        <v>268.79000000000002</v>
      </c>
      <c r="E63">
        <v>361.88</v>
      </c>
      <c r="F63" t="s">
        <v>164</v>
      </c>
      <c r="G63" t="s">
        <v>52</v>
      </c>
      <c r="T63" t="b">
        <v>0</v>
      </c>
    </row>
    <row r="64">
      <c r="A64" t="s">
        <v>165</v>
      </c>
      <c r="B64">
        <v>1</v>
      </c>
      <c r="C64">
        <v>6</v>
      </c>
      <c r="D64">
        <v>86.530000000000001</v>
      </c>
      <c r="E64">
        <v>347.61000000000001</v>
      </c>
      <c r="F64" t="s">
        <v>166</v>
      </c>
      <c r="G64" t="s">
        <v>37</v>
      </c>
      <c r="H64">
        <v>400.15717372343539</v>
      </c>
      <c r="I64">
        <v>240.47579334788571</v>
      </c>
      <c r="J64">
        <v>240.18010031444041</v>
      </c>
      <c r="K64">
        <v>240.1801003144391</v>
      </c>
      <c r="L64">
        <v>46.24892294160518</v>
      </c>
      <c r="M64">
        <v>25.718570763532679</v>
      </c>
      <c r="N64">
        <v>25.71227621604665</v>
      </c>
      <c r="O64">
        <v>25.895865656081661</v>
      </c>
      <c r="P64">
        <v>0</v>
      </c>
      <c r="R64">
        <v>2050</v>
      </c>
      <c r="S64">
        <v>42.523111833840012</v>
      </c>
      <c r="T64" t="b">
        <v>0</v>
      </c>
      <c r="U64">
        <v>2</v>
      </c>
      <c r="V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>
      <c r="A65" t="s">
        <v>167</v>
      </c>
      <c r="B65">
        <v>0</v>
      </c>
      <c r="D65">
        <v>482.27999999999997</v>
      </c>
      <c r="E65">
        <v>484.77999999999997</v>
      </c>
      <c r="F65" t="s">
        <v>168</v>
      </c>
      <c r="G65" t="s">
        <v>34</v>
      </c>
      <c r="T65" t="b">
        <v>0</v>
      </c>
    </row>
    <row r="66">
      <c r="A66" t="s">
        <v>169</v>
      </c>
      <c r="B66">
        <v>0</v>
      </c>
      <c r="D66">
        <v>23.010000000000002</v>
      </c>
      <c r="E66">
        <v>245.06</v>
      </c>
      <c r="F66" t="s">
        <v>170</v>
      </c>
      <c r="G66" t="s">
        <v>45</v>
      </c>
      <c r="T66" t="b">
        <v>0</v>
      </c>
    </row>
    <row r="67">
      <c r="A67" t="s">
        <v>171</v>
      </c>
      <c r="B67">
        <v>0</v>
      </c>
      <c r="D67">
        <v>77.079999999999998</v>
      </c>
      <c r="E67">
        <v>325.82999999999998</v>
      </c>
      <c r="F67" t="s">
        <v>172</v>
      </c>
      <c r="G67" t="s">
        <v>34</v>
      </c>
      <c r="T67" t="b">
        <v>0</v>
      </c>
    </row>
    <row r="68">
      <c r="A68" t="s">
        <v>173</v>
      </c>
      <c r="B68">
        <v>0</v>
      </c>
      <c r="D68">
        <v>84.569999999999993</v>
      </c>
      <c r="E68">
        <v>127.09999999999999</v>
      </c>
      <c r="F68" t="s">
        <v>174</v>
      </c>
      <c r="G68" t="s">
        <v>42</v>
      </c>
      <c r="T68" t="b">
        <v>0</v>
      </c>
    </row>
    <row r="69">
      <c r="A69" t="s">
        <v>175</v>
      </c>
      <c r="B69">
        <v>0</v>
      </c>
      <c r="D69">
        <v>132.71000000000001</v>
      </c>
      <c r="E69">
        <v>141.72999999999999</v>
      </c>
      <c r="F69" t="s">
        <v>176</v>
      </c>
      <c r="G69" t="s">
        <v>45</v>
      </c>
      <c r="T69" t="b">
        <v>0</v>
      </c>
    </row>
    <row r="70">
      <c r="A70" t="s">
        <v>177</v>
      </c>
      <c r="B70">
        <v>0</v>
      </c>
      <c r="D70">
        <v>258.26999999999998</v>
      </c>
      <c r="E70">
        <v>348.87</v>
      </c>
      <c r="F70" t="s">
        <v>178</v>
      </c>
      <c r="G70" t="s">
        <v>45</v>
      </c>
      <c r="T70" t="b">
        <v>0</v>
      </c>
    </row>
    <row r="71">
      <c r="A71" t="s">
        <v>179</v>
      </c>
      <c r="B71">
        <v>0</v>
      </c>
      <c r="D71">
        <v>353.63999999999999</v>
      </c>
      <c r="E71">
        <v>553.72000000000003</v>
      </c>
      <c r="F71" t="s">
        <v>180</v>
      </c>
      <c r="G71" t="s">
        <v>31</v>
      </c>
      <c r="T71" t="b">
        <v>0</v>
      </c>
    </row>
    <row r="72">
      <c r="A72" t="s">
        <v>181</v>
      </c>
      <c r="B72">
        <v>0</v>
      </c>
      <c r="D72">
        <v>221.62</v>
      </c>
      <c r="E72">
        <v>370.19</v>
      </c>
      <c r="F72" t="s">
        <v>182</v>
      </c>
      <c r="G72" t="s">
        <v>31</v>
      </c>
      <c r="T72" t="b">
        <v>0</v>
      </c>
    </row>
    <row r="73">
      <c r="A73" t="s">
        <v>183</v>
      </c>
      <c r="B73">
        <v>0</v>
      </c>
      <c r="D73">
        <v>148.58000000000001</v>
      </c>
      <c r="E73">
        <v>370.19</v>
      </c>
      <c r="F73" t="s">
        <v>184</v>
      </c>
      <c r="G73" t="s">
        <v>31</v>
      </c>
      <c r="T73" t="b">
        <v>0</v>
      </c>
    </row>
    <row r="74">
      <c r="A74" t="s">
        <v>185</v>
      </c>
      <c r="B74">
        <v>0</v>
      </c>
      <c r="D74">
        <v>201.52000000000001</v>
      </c>
      <c r="E74">
        <v>356.04000000000002</v>
      </c>
      <c r="F74" t="s">
        <v>186</v>
      </c>
      <c r="G74" t="s">
        <v>34</v>
      </c>
      <c r="T74" t="b">
        <v>0</v>
      </c>
    </row>
    <row r="75">
      <c r="A75" t="s">
        <v>187</v>
      </c>
      <c r="B75">
        <v>0</v>
      </c>
      <c r="D75">
        <v>524.22000000000003</v>
      </c>
      <c r="E75">
        <v>555.74000000000001</v>
      </c>
      <c r="F75" t="s">
        <v>188</v>
      </c>
      <c r="G75" t="s">
        <v>107</v>
      </c>
      <c r="T75" t="b">
        <v>0</v>
      </c>
    </row>
    <row r="76">
      <c r="A76" t="s">
        <v>189</v>
      </c>
      <c r="B76">
        <v>0</v>
      </c>
      <c r="D76">
        <v>200.08000000000001</v>
      </c>
      <c r="E76">
        <v>553.72000000000003</v>
      </c>
      <c r="F76" t="s">
        <v>190</v>
      </c>
      <c r="G76" t="s">
        <v>31</v>
      </c>
      <c r="T76" t="b">
        <v>0</v>
      </c>
    </row>
    <row r="77">
      <c r="A77" t="s">
        <v>191</v>
      </c>
      <c r="B77">
        <v>0</v>
      </c>
      <c r="D77">
        <v>207.56999999999999</v>
      </c>
      <c r="E77">
        <v>496.16000000000003</v>
      </c>
      <c r="F77" t="s">
        <v>192</v>
      </c>
      <c r="G77" t="s">
        <v>31</v>
      </c>
      <c r="T77" t="b">
        <v>0</v>
      </c>
    </row>
    <row r="78">
      <c r="A78" t="s">
        <v>193</v>
      </c>
      <c r="B78">
        <v>0</v>
      </c>
      <c r="D78">
        <v>140.08000000000001</v>
      </c>
      <c r="E78">
        <v>491.30000000000001</v>
      </c>
      <c r="F78" t="s">
        <v>194</v>
      </c>
      <c r="G78" t="s">
        <v>195</v>
      </c>
      <c r="T78" t="b">
        <v>0</v>
      </c>
    </row>
    <row r="79">
      <c r="A79" t="s">
        <v>196</v>
      </c>
      <c r="B79">
        <v>0</v>
      </c>
      <c r="D79">
        <v>32.039999999999999</v>
      </c>
      <c r="E79">
        <v>371.42000000000002</v>
      </c>
      <c r="F79" t="s">
        <v>197</v>
      </c>
      <c r="G79" t="s">
        <v>58</v>
      </c>
      <c r="T79" t="b">
        <v>0</v>
      </c>
    </row>
    <row r="80">
      <c r="A80" t="s">
        <v>198</v>
      </c>
      <c r="B80">
        <v>0</v>
      </c>
      <c r="D80">
        <v>0</v>
      </c>
      <c r="E80">
        <v>78.120000000000005</v>
      </c>
      <c r="F80" t="s">
        <v>199</v>
      </c>
      <c r="G80" t="s">
        <v>58</v>
      </c>
      <c r="T80" t="b">
        <v>0</v>
      </c>
    </row>
    <row r="81">
      <c r="A81" t="s">
        <v>200</v>
      </c>
      <c r="B81">
        <v>0</v>
      </c>
      <c r="D81">
        <v>85.120000000000005</v>
      </c>
      <c r="E81">
        <v>166.22999999999999</v>
      </c>
      <c r="F81" t="s">
        <v>201</v>
      </c>
      <c r="G81" t="s">
        <v>195</v>
      </c>
      <c r="T81" t="b">
        <v>0</v>
      </c>
    </row>
    <row r="82">
      <c r="A82" t="s">
        <v>202</v>
      </c>
      <c r="B82">
        <v>0</v>
      </c>
      <c r="D82">
        <v>351.04000000000002</v>
      </c>
      <c r="E82">
        <v>518.05999999999995</v>
      </c>
      <c r="F82" t="s">
        <v>203</v>
      </c>
      <c r="G82" t="s">
        <v>61</v>
      </c>
      <c r="T82" t="b">
        <v>0</v>
      </c>
    </row>
    <row r="83">
      <c r="A83" t="s">
        <v>204</v>
      </c>
      <c r="B83">
        <v>0</v>
      </c>
      <c r="D83">
        <v>11.06</v>
      </c>
      <c r="E83">
        <v>68.849999999999994</v>
      </c>
      <c r="F83" t="s">
        <v>205</v>
      </c>
      <c r="G83" t="s">
        <v>61</v>
      </c>
      <c r="T83" t="b">
        <v>0</v>
      </c>
    </row>
    <row r="84">
      <c r="A84" t="s">
        <v>206</v>
      </c>
      <c r="B84">
        <v>0</v>
      </c>
      <c r="D84">
        <v>75.019999999999996</v>
      </c>
      <c r="E84">
        <v>222.05000000000001</v>
      </c>
      <c r="F84" t="s">
        <v>207</v>
      </c>
      <c r="G84" t="s">
        <v>45</v>
      </c>
      <c r="T84" t="b">
        <v>0</v>
      </c>
    </row>
    <row r="85">
      <c r="A85" t="s">
        <v>208</v>
      </c>
      <c r="B85">
        <v>0</v>
      </c>
      <c r="D85">
        <v>303.66000000000003</v>
      </c>
      <c r="E85">
        <v>345.18000000000001</v>
      </c>
      <c r="F85" t="s">
        <v>209</v>
      </c>
      <c r="G85" t="s">
        <v>42</v>
      </c>
      <c r="T85" t="b">
        <v>0</v>
      </c>
    </row>
    <row r="86">
      <c r="A86" t="s">
        <v>210</v>
      </c>
      <c r="B86">
        <v>0</v>
      </c>
      <c r="D86">
        <v>154.52000000000001</v>
      </c>
      <c r="E86">
        <v>356.04000000000002</v>
      </c>
      <c r="F86" t="s">
        <v>211</v>
      </c>
      <c r="G86" t="s">
        <v>45</v>
      </c>
      <c r="T86" t="b">
        <v>0</v>
      </c>
    </row>
    <row r="87">
      <c r="A87" t="s">
        <v>212</v>
      </c>
      <c r="B87">
        <v>0</v>
      </c>
      <c r="D87">
        <v>116.65000000000001</v>
      </c>
      <c r="E87">
        <v>326.42000000000002</v>
      </c>
      <c r="F87" t="s">
        <v>213</v>
      </c>
      <c r="G87" t="s">
        <v>52</v>
      </c>
      <c r="T87" t="b">
        <v>0</v>
      </c>
    </row>
    <row r="88">
      <c r="A88" t="s">
        <v>214</v>
      </c>
      <c r="B88">
        <v>0</v>
      </c>
      <c r="D88">
        <v>164.63999999999999</v>
      </c>
      <c r="E88">
        <v>189.66</v>
      </c>
      <c r="F88" t="s">
        <v>215</v>
      </c>
      <c r="G88" t="s">
        <v>42</v>
      </c>
      <c r="T88" t="b">
        <v>0</v>
      </c>
    </row>
    <row r="89">
      <c r="A89" t="s">
        <v>216</v>
      </c>
      <c r="B89">
        <v>0</v>
      </c>
      <c r="D89">
        <v>290.25</v>
      </c>
      <c r="E89">
        <v>463.39999999999998</v>
      </c>
      <c r="F89" t="s">
        <v>217</v>
      </c>
      <c r="G89" t="s">
        <v>61</v>
      </c>
      <c r="T89" t="b">
        <v>0</v>
      </c>
    </row>
    <row r="90">
      <c r="A90" t="s">
        <v>218</v>
      </c>
      <c r="B90">
        <v>0</v>
      </c>
      <c r="D90">
        <v>129.19999999999999</v>
      </c>
      <c r="E90">
        <v>263.91000000000003</v>
      </c>
      <c r="F90" t="s">
        <v>219</v>
      </c>
      <c r="G90" t="s">
        <v>52</v>
      </c>
      <c r="T90" t="b">
        <v>0</v>
      </c>
    </row>
    <row r="91">
      <c r="A91" t="s">
        <v>220</v>
      </c>
      <c r="B91">
        <v>1</v>
      </c>
      <c r="C91">
        <v>22</v>
      </c>
      <c r="D91">
        <v>9.0099999999999998</v>
      </c>
      <c r="E91">
        <v>141.72999999999999</v>
      </c>
      <c r="F91" t="s">
        <v>221</v>
      </c>
      <c r="G91" t="s">
        <v>34</v>
      </c>
      <c r="H91">
        <v>150</v>
      </c>
      <c r="I91">
        <v>127.5971856482135</v>
      </c>
      <c r="J91">
        <v>128.0092056940465</v>
      </c>
      <c r="K91">
        <v>127.5971856482135</v>
      </c>
      <c r="L91">
        <v>25</v>
      </c>
      <c r="M91">
        <v>23.135810668191841</v>
      </c>
      <c r="N91">
        <v>15.08620296987864</v>
      </c>
      <c r="O91">
        <v>15.119394484405991</v>
      </c>
      <c r="P91">
        <v>1</v>
      </c>
      <c r="Q91">
        <v>2050</v>
      </c>
      <c r="R91">
        <v>2040</v>
      </c>
      <c r="S91">
        <v>110.53591113071001</v>
      </c>
      <c r="T91" t="b">
        <v>0</v>
      </c>
      <c r="U91">
        <v>2</v>
      </c>
      <c r="V91">
        <v>0</v>
      </c>
      <c r="W91">
        <v>50</v>
      </c>
      <c r="X91">
        <v>10</v>
      </c>
      <c r="Y91">
        <v>0</v>
      </c>
      <c r="Z91">
        <v>0</v>
      </c>
      <c r="AA91">
        <v>0</v>
      </c>
      <c r="AB91">
        <v>28.510000000000119</v>
      </c>
      <c r="AC91">
        <v>29.590000000000089</v>
      </c>
    </row>
    <row r="92">
      <c r="A92" t="s">
        <v>222</v>
      </c>
      <c r="B92">
        <v>1</v>
      </c>
      <c r="C92">
        <v>34</v>
      </c>
      <c r="D92">
        <v>183.25</v>
      </c>
      <c r="E92">
        <v>343.97000000000003</v>
      </c>
      <c r="F92" t="s">
        <v>223</v>
      </c>
      <c r="G92" t="s">
        <v>52</v>
      </c>
      <c r="H92">
        <v>178.0092056940465</v>
      </c>
      <c r="I92">
        <v>72.949937968121731</v>
      </c>
      <c r="J92">
        <v>195.23118136090579</v>
      </c>
      <c r="K92">
        <v>72.949937968121731</v>
      </c>
      <c r="L92">
        <v>25.08620296987916</v>
      </c>
      <c r="M92">
        <v>12.70264080635134</v>
      </c>
      <c r="N92">
        <v>22.227782953811559</v>
      </c>
      <c r="O92">
        <v>12.206166284916669</v>
      </c>
      <c r="P92">
        <v>1</v>
      </c>
      <c r="Q92">
        <v>2050</v>
      </c>
      <c r="R92">
        <v>2050</v>
      </c>
      <c r="S92">
        <v>244.00848204656</v>
      </c>
      <c r="T92" t="b">
        <v>0</v>
      </c>
      <c r="U92">
        <v>2</v>
      </c>
      <c r="V92">
        <v>0</v>
      </c>
      <c r="W92">
        <v>50</v>
      </c>
      <c r="X92">
        <v>10</v>
      </c>
      <c r="Y92">
        <v>0</v>
      </c>
      <c r="Z92">
        <v>0</v>
      </c>
      <c r="AA92">
        <v>0</v>
      </c>
      <c r="AB92">
        <v>0</v>
      </c>
      <c r="AC92">
        <v>88.152937844191257</v>
      </c>
    </row>
    <row r="93">
      <c r="A93" t="s">
        <v>224</v>
      </c>
      <c r="B93">
        <v>0</v>
      </c>
      <c r="D93">
        <v>160.72</v>
      </c>
      <c r="E93">
        <v>343.97000000000003</v>
      </c>
      <c r="F93" t="s">
        <v>225</v>
      </c>
      <c r="G93" t="s">
        <v>52</v>
      </c>
      <c r="T93" t="b">
        <v>0</v>
      </c>
    </row>
    <row r="94">
      <c r="A94" t="s">
        <v>226</v>
      </c>
      <c r="B94">
        <v>0</v>
      </c>
      <c r="D94">
        <v>51.619999999999997</v>
      </c>
      <c r="E94">
        <v>151.34999999999999</v>
      </c>
      <c r="F94" t="s">
        <v>227</v>
      </c>
      <c r="G94" t="s">
        <v>58</v>
      </c>
      <c r="T94" t="b">
        <v>0</v>
      </c>
    </row>
    <row r="95">
      <c r="A95" t="s">
        <v>228</v>
      </c>
      <c r="B95">
        <v>0</v>
      </c>
      <c r="D95">
        <v>313.26999999999998</v>
      </c>
      <c r="E95">
        <v>447.88999999999999</v>
      </c>
      <c r="F95" t="s">
        <v>229</v>
      </c>
      <c r="G95" t="s">
        <v>31</v>
      </c>
      <c r="T95" t="b">
        <v>0</v>
      </c>
    </row>
    <row r="96">
      <c r="A96" t="s">
        <v>230</v>
      </c>
      <c r="B96">
        <v>0</v>
      </c>
      <c r="D96">
        <v>14.539999999999999</v>
      </c>
      <c r="E96">
        <v>80.230000000000004</v>
      </c>
      <c r="F96" t="s">
        <v>231</v>
      </c>
      <c r="G96" t="s">
        <v>45</v>
      </c>
      <c r="T96" t="b">
        <v>0</v>
      </c>
    </row>
    <row r="97">
      <c r="A97" t="s">
        <v>232</v>
      </c>
      <c r="B97">
        <v>0</v>
      </c>
      <c r="D97">
        <v>530.62</v>
      </c>
      <c r="E97">
        <v>562.63</v>
      </c>
      <c r="F97" t="s">
        <v>233</v>
      </c>
      <c r="G97" t="s">
        <v>107</v>
      </c>
      <c r="T97" t="b">
        <v>0</v>
      </c>
    </row>
    <row r="98">
      <c r="A98" t="s">
        <v>234</v>
      </c>
      <c r="B98">
        <v>0</v>
      </c>
      <c r="D98">
        <v>0</v>
      </c>
      <c r="E98">
        <v>135.33000000000001</v>
      </c>
      <c r="F98" t="s">
        <v>235</v>
      </c>
      <c r="G98" t="s">
        <v>107</v>
      </c>
    </row>
    <row r="99">
      <c r="A99" t="s">
        <v>236</v>
      </c>
      <c r="B99">
        <v>0</v>
      </c>
      <c r="D99">
        <v>0</v>
      </c>
      <c r="E99">
        <v>192.08000000000001</v>
      </c>
      <c r="F99" t="s">
        <v>237</v>
      </c>
      <c r="G99" t="s">
        <v>31</v>
      </c>
    </row>
    <row r="100">
      <c r="A100" t="s">
        <v>238</v>
      </c>
      <c r="B100">
        <v>0</v>
      </c>
      <c r="D100">
        <v>0</v>
      </c>
      <c r="E100">
        <v>161.78999999999999</v>
      </c>
      <c r="F100" t="s">
        <v>239</v>
      </c>
      <c r="G100" t="s">
        <v>31</v>
      </c>
    </row>
    <row r="101">
      <c r="A101" t="s">
        <v>240</v>
      </c>
      <c r="B101">
        <v>0</v>
      </c>
      <c r="D101">
        <v>0</v>
      </c>
      <c r="E101">
        <v>192.08000000000001</v>
      </c>
      <c r="F101" t="s">
        <v>241</v>
      </c>
      <c r="G101" t="s">
        <v>31</v>
      </c>
    </row>
    <row r="102">
      <c r="A102" t="s">
        <v>242</v>
      </c>
      <c r="B102">
        <v>1</v>
      </c>
      <c r="C102">
        <v>38</v>
      </c>
      <c r="D102">
        <v>0</v>
      </c>
      <c r="E102">
        <v>25.420000000000002</v>
      </c>
      <c r="F102" t="s">
        <v>243</v>
      </c>
      <c r="G102" t="s">
        <v>195</v>
      </c>
      <c r="H102">
        <v>238.75987100735929</v>
      </c>
      <c r="J102">
        <v>236.95987100735931</v>
      </c>
      <c r="K102">
        <v>236.95987100735931</v>
      </c>
      <c r="L102">
        <v>27.357528862538089</v>
      </c>
      <c r="N102">
        <v>15</v>
      </c>
      <c r="P102">
        <v>0</v>
      </c>
      <c r="R102">
        <v>2045</v>
      </c>
      <c r="S102">
        <v>50.548483440000012</v>
      </c>
      <c r="V102">
        <v>0</v>
      </c>
      <c r="Y102">
        <v>0</v>
      </c>
      <c r="Z102">
        <v>0</v>
      </c>
      <c r="AA102">
        <v>0</v>
      </c>
      <c r="AB102">
        <v>96.35737246827378</v>
      </c>
      <c r="AC102">
        <v>110.84999999999999</v>
      </c>
    </row>
    <row r="103">
      <c r="A103" t="s">
        <v>244</v>
      </c>
      <c r="B103">
        <v>1</v>
      </c>
      <c r="C103">
        <v>42</v>
      </c>
      <c r="D103">
        <v>0</v>
      </c>
      <c r="E103">
        <v>25.73</v>
      </c>
      <c r="F103" t="s">
        <v>245</v>
      </c>
      <c r="G103" t="s">
        <v>195</v>
      </c>
      <c r="H103">
        <v>153.46191091591521</v>
      </c>
      <c r="J103">
        <v>151.84191091591529</v>
      </c>
      <c r="K103">
        <v>151.84191091591521</v>
      </c>
      <c r="L103">
        <v>22.189588053825361</v>
      </c>
      <c r="N103">
        <v>15</v>
      </c>
      <c r="P103">
        <v>0</v>
      </c>
      <c r="R103">
        <v>2035</v>
      </c>
      <c r="S103">
        <v>98.422962059999989</v>
      </c>
      <c r="V103">
        <v>0</v>
      </c>
      <c r="Y103">
        <v>0</v>
      </c>
      <c r="Z103">
        <v>135.82000000000349</v>
      </c>
      <c r="AA103">
        <v>131.33000000000351</v>
      </c>
      <c r="AB103">
        <v>11.79114821144621</v>
      </c>
      <c r="AC103">
        <v>9.3484378441890215</v>
      </c>
    </row>
    <row r="104">
      <c r="A104" t="s">
        <v>246</v>
      </c>
      <c r="B104">
        <v>0</v>
      </c>
      <c r="D104">
        <v>0</v>
      </c>
      <c r="E104">
        <v>25.420000000000002</v>
      </c>
      <c r="F104" t="s">
        <v>247</v>
      </c>
      <c r="G104" t="s">
        <v>82</v>
      </c>
    </row>
    <row r="105">
      <c r="A105" t="s">
        <v>248</v>
      </c>
      <c r="B105">
        <v>0</v>
      </c>
      <c r="D105">
        <v>0</v>
      </c>
      <c r="E105">
        <v>24.609999999999999</v>
      </c>
      <c r="F105" t="s">
        <v>249</v>
      </c>
      <c r="G105" t="s">
        <v>195</v>
      </c>
    </row>
    <row r="106">
      <c r="A106" t="s">
        <v>250</v>
      </c>
      <c r="B106">
        <v>0</v>
      </c>
      <c r="D106">
        <v>0</v>
      </c>
      <c r="E106">
        <v>161.78999999999999</v>
      </c>
      <c r="F106" t="s">
        <v>251</v>
      </c>
      <c r="G106" t="s">
        <v>31</v>
      </c>
    </row>
    <row r="107">
      <c r="A107" t="s">
        <v>252</v>
      </c>
      <c r="B107">
        <v>0</v>
      </c>
      <c r="D107">
        <v>0</v>
      </c>
      <c r="E107">
        <v>24.609999999999999</v>
      </c>
      <c r="F107" t="s">
        <v>253</v>
      </c>
      <c r="G107" t="s">
        <v>82</v>
      </c>
    </row>
    <row r="108">
      <c r="A108" t="s">
        <v>254</v>
      </c>
      <c r="B108">
        <v>0</v>
      </c>
      <c r="D108">
        <v>0</v>
      </c>
      <c r="E108">
        <v>25.73</v>
      </c>
      <c r="F108" t="s">
        <v>255</v>
      </c>
      <c r="G108" t="s">
        <v>82</v>
      </c>
    </row>
    <row r="109">
      <c r="A109" t="s">
        <v>256</v>
      </c>
      <c r="B109">
        <v>0</v>
      </c>
      <c r="D109">
        <v>0</v>
      </c>
      <c r="E109">
        <v>135.33000000000001</v>
      </c>
      <c r="F109" t="s">
        <v>257</v>
      </c>
      <c r="G109" t="s">
        <v>55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3654.1799999999971</v>
      </c>
      <c r="F3">
        <v>3522.8499999999999</v>
      </c>
      <c r="G3">
        <v>3511.0588517885471</v>
      </c>
      <c r="H3">
        <v>3501.7104139443582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2003.642627531726</v>
      </c>
      <c r="H4">
        <v>1892.7926275317261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4551.7320000000018</v>
      </c>
      <c r="E6">
        <v>4527.1260000000057</v>
      </c>
      <c r="F6">
        <v>4501.3260000000046</v>
      </c>
      <c r="G6">
        <v>4474.9120206797261</v>
      </c>
      <c r="H6">
        <v>4474.9120206797261</v>
      </c>
    </row>
    <row r="7">
      <c r="A7">
        <v>21</v>
      </c>
      <c r="B7">
        <v>1372.72</v>
      </c>
      <c r="C7">
        <v>1372.72</v>
      </c>
      <c r="D7">
        <v>1323.1700000000001</v>
      </c>
      <c r="E7">
        <v>1323.1700000000001</v>
      </c>
      <c r="F7">
        <v>1323.1700000000001</v>
      </c>
      <c r="G7">
        <v>1323.1700000000001</v>
      </c>
      <c r="H7">
        <v>1323.1700000000001</v>
      </c>
    </row>
    <row r="8">
      <c r="A8">
        <v>22</v>
      </c>
      <c r="B8">
        <v>2171.48</v>
      </c>
      <c r="C8">
        <v>2171.48</v>
      </c>
      <c r="D8">
        <v>2171.48</v>
      </c>
      <c r="E8">
        <v>2171.48</v>
      </c>
      <c r="F8">
        <v>2171.48</v>
      </c>
      <c r="G8">
        <v>2142.9699999999998</v>
      </c>
      <c r="H8">
        <v>2128.4929378441898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4576.1280000000033</v>
      </c>
      <c r="G9">
        <v>4512.2080000000024</v>
      </c>
      <c r="H9">
        <v>4444.5380000000014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225</v>
      </c>
      <c r="C2">
        <v>0</v>
      </c>
      <c r="D2">
        <v>69.469999999999999</v>
      </c>
      <c r="E2">
        <v>71.61000000000007</v>
      </c>
      <c r="F2">
        <v>190.8788517885535</v>
      </c>
      <c r="G2">
        <v>197.06847932028111</v>
      </c>
    </row>
    <row r="3">
      <c r="A3">
        <v>5</v>
      </c>
      <c r="B3">
        <v>112.5</v>
      </c>
      <c r="C3">
        <v>0</v>
      </c>
      <c r="D3">
        <v>0</v>
      </c>
      <c r="E3">
        <v>-0</v>
      </c>
      <c r="F3">
        <v>0</v>
      </c>
      <c r="G3">
        <v>112.5</v>
      </c>
    </row>
    <row r="4">
      <c r="A4">
        <v>6</v>
      </c>
      <c r="B4">
        <v>112.5</v>
      </c>
      <c r="C4">
        <v>0</v>
      </c>
      <c r="D4">
        <v>11.92600000000002</v>
      </c>
      <c r="E4">
        <v>106.7800000000007</v>
      </c>
      <c r="F4">
        <v>109.23064821144651</v>
      </c>
      <c r="G4">
        <v>111.4306482114461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5288.0388399998837</v>
      </c>
      <c r="C2">
        <v>14008.748459999801</v>
      </c>
      <c r="D2">
        <v>17188.21821999985</v>
      </c>
      <c r="E2">
        <v>17547.225579999958</v>
      </c>
      <c r="F2">
        <v>15726.98495262542</v>
      </c>
      <c r="G2">
        <v>69759.216052624906</v>
      </c>
    </row>
    <row r="3">
      <c r="A3" t="s">
        <v>276</v>
      </c>
      <c r="B3">
        <v>453.18139999998988</v>
      </c>
      <c r="C3">
        <v>795.71295999999995</v>
      </c>
      <c r="D3">
        <v>803.20604000000014</v>
      </c>
      <c r="E3">
        <v>646.9286249999999</v>
      </c>
      <c r="F3">
        <v>437.06627999999859</v>
      </c>
      <c r="G3">
        <v>3136.095304999988</v>
      </c>
    </row>
    <row r="4">
      <c r="A4" t="s">
        <v>277</v>
      </c>
      <c r="B4">
        <v>592.73561450213037</v>
      </c>
      <c r="C4">
        <v>681.96390824912191</v>
      </c>
      <c r="D4">
        <v>321.37825580040987</v>
      </c>
      <c r="E4">
        <v>838.39651819265987</v>
      </c>
      <c r="F4">
        <v>465.68008939928001</v>
      </c>
      <c r="G4">
        <v>2900.1543861436021</v>
      </c>
    </row>
    <row r="5">
      <c r="A5" t="s">
        <v>278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">
        <v>279</v>
      </c>
      <c r="B6">
        <v>0</v>
      </c>
      <c r="C6">
        <v>98.422962059999989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4903.2587599999997</v>
      </c>
      <c r="C7">
        <v>9647.45586</v>
      </c>
      <c r="D7">
        <v>4276.4956000000002</v>
      </c>
      <c r="E7">
        <v>3548.357039999999</v>
      </c>
      <c r="F7">
        <v>1398.8620800000001</v>
      </c>
      <c r="G7">
        <v>23774.429339999999</v>
      </c>
    </row>
    <row r="8">
      <c r="A8" t="s">
        <v>281</v>
      </c>
      <c r="B8">
        <v>0</v>
      </c>
      <c r="C8">
        <v>0</v>
      </c>
      <c r="D8">
        <v>115.78747189224831</v>
      </c>
      <c r="E8">
        <v>374.82545390410581</v>
      </c>
      <c r="F8">
        <v>285.36065374929723</v>
      </c>
      <c r="G8">
        <v>775.97357954565132</v>
      </c>
    </row>
    <row r="9">
      <c r="A9" t="s">
        <v>282</v>
      </c>
      <c r="B9">
        <v>77.055832440575983</v>
      </c>
      <c r="C9">
        <v>147.06404916979201</v>
      </c>
      <c r="D9">
        <v>153.25356982254999</v>
      </c>
      <c r="E9">
        <v>225.15869781305</v>
      </c>
      <c r="F9">
        <v>231.20911516315201</v>
      </c>
      <c r="G9">
        <v>833.74126440912005</v>
      </c>
    </row>
    <row r="10">
      <c r="A10" t="s">
        <v>283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132.44283999999999</v>
      </c>
      <c r="C12">
        <v>361.04507999999998</v>
      </c>
      <c r="D12">
        <v>388.98899999999998</v>
      </c>
      <c r="E12">
        <v>390.54730000000012</v>
      </c>
      <c r="F12">
        <v>333.82173</v>
      </c>
      <c r="G12">
        <v>1606.8459499999999</v>
      </c>
    </row>
    <row r="13">
      <c r="A13" t="s">
        <v>286</v>
      </c>
      <c r="B13">
        <v>0</v>
      </c>
      <c r="C13">
        <v>0</v>
      </c>
      <c r="D13">
        <v>2.9759750034180898</v>
      </c>
      <c r="E13">
        <v>11.91270467344588</v>
      </c>
      <c r="F13">
        <v>16.336230963317259</v>
      </c>
      <c r="G13">
        <v>31.224910640181228</v>
      </c>
    </row>
    <row r="14">
      <c r="A14" t="s">
        <v>287</v>
      </c>
      <c r="B14">
        <v>785.56055199998264</v>
      </c>
      <c r="C14">
        <v>2081.36195399997</v>
      </c>
      <c r="D14">
        <v>2553.7676079999778</v>
      </c>
      <c r="E14">
        <v>2606.519389999994</v>
      </c>
      <c r="F14">
        <v>2336.2956639889062</v>
      </c>
      <c r="G14">
        <v>10363.505167988829</v>
      </c>
    </row>
    <row r="15">
      <c r="A15" t="s">
        <v>288</v>
      </c>
      <c r="B15">
        <v>0</v>
      </c>
      <c r="C15">
        <v>0</v>
      </c>
      <c r="D15">
        <v>28.786560000000371</v>
      </c>
      <c r="E15">
        <v>107.2547489873094</v>
      </c>
      <c r="F15">
        <v>152.39265154294799</v>
      </c>
      <c r="G15">
        <v>288.43396053025782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45540.571320000126</v>
      </c>
      <c r="C17">
        <v>25247.446840000001</v>
      </c>
      <c r="D17">
        <v>13362.42023999995</v>
      </c>
      <c r="E17">
        <v>6957.8432000000084</v>
      </c>
      <c r="F17">
        <v>1174.584047719861</v>
      </c>
      <c r="G17">
        <v>92282.865647719955</v>
      </c>
    </row>
    <row r="18">
      <c r="A18" t="s">
        <v>291</v>
      </c>
      <c r="B18">
        <v>-0</v>
      </c>
      <c r="C18">
        <v>-6444.121320000002</v>
      </c>
      <c r="D18">
        <v>-10705.183900000049</v>
      </c>
      <c r="E18">
        <v>-13651.981154999999</v>
      </c>
      <c r="F18">
        <v>-14516.049917293951</v>
      </c>
      <c r="G18">
        <v>-45317.336292294</v>
      </c>
    </row>
    <row r="19">
      <c r="A19" t="s">
        <v>292</v>
      </c>
      <c r="B19">
        <v>57772.845158942699</v>
      </c>
      <c r="C19">
        <v>46637.895767878683</v>
      </c>
      <c r="D19">
        <v>28499.793306718359</v>
      </c>
      <c r="E19">
        <v>19667.459486810531</v>
      </c>
      <c r="F19">
        <v>8053.0971016082312</v>
      </c>
      <c r="G19">
        <v>160631.0908219585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298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</row>
    <row r="2">
      <c r="A2" t="s">
        <v>299</v>
      </c>
      <c r="B2">
        <v>280.06999999999999</v>
      </c>
      <c r="C2">
        <v>725.94000000000005</v>
      </c>
      <c r="D2">
        <v>1158.5699999999999</v>
      </c>
      <c r="E2">
        <v>1481.0699999999999</v>
      </c>
      <c r="F2">
        <v>2225.9000000000001</v>
      </c>
    </row>
    <row r="3">
      <c r="A3" t="s">
        <v>300</v>
      </c>
      <c r="B3">
        <v>280.06999999999999</v>
      </c>
      <c r="C3">
        <v>565.31999999999994</v>
      </c>
      <c r="D3">
        <v>1056.2</v>
      </c>
      <c r="E3">
        <v>1827.53</v>
      </c>
      <c r="F3">
        <v>2445.2600000000002</v>
      </c>
    </row>
    <row r="4">
      <c r="A4" t="s">
        <v>301</v>
      </c>
      <c r="B4">
        <v>280.06999999999999</v>
      </c>
      <c r="C4">
        <v>692.42000000000007</v>
      </c>
      <c r="D4">
        <v>1056.2</v>
      </c>
      <c r="E4">
        <v>2250.9899999999998</v>
      </c>
      <c r="F4">
        <v>3216.3299999999999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2026-08-14T18:47:29Z</dcterms:created>
  <dcterms:modified xsi:type="dcterms:W3CDTF">2026-08-17T12:23:32Z</dcterms:modified>
</cp:coreProperties>
</file>