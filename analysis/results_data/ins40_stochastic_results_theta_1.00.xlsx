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4" showHorizontalScroll="1" showVerticalScroll="1"/>
  </bookViews>
  <sheets>
    <sheet name="LUS - Pipes" sheetId="1" state="visible" r:id="rId1"/>
    <sheet name="LUS - Sinks capacity evolution" sheetId="2" state="visible" r:id="rId2"/>
    <sheet name="LUS - Utilization evolution" sheetId="3" state="visible" r:id="rId3"/>
    <sheet name="LUS - Cost breakdown" sheetId="4" state="visible" r:id="rId4"/>
    <sheet name="EUS - Pipes" sheetId="5" state="visible" r:id="rId5"/>
    <sheet name="PIPE" sheetId="6" state="visible" r:id="rId6"/>
    <sheet name="EUS - Sinks capacity evolution" sheetId="7" state="visible" r:id="rId7"/>
    <sheet name="EUS - Utilization evolution" sheetId="8" state="visible" r:id="rId8"/>
    <sheet name="EUS - Cost breakdown" sheetId="9" state="visible" r:id="rId9"/>
    <sheet name="HUS - Pipes" sheetId="10" state="visible" r:id="rId10"/>
    <sheet name="HUS - Sinks capacity evolution" sheetId="11" state="visible" r:id="rId11"/>
    <sheet name="HUS - Utilization evolution" sheetId="12" state="visible" r:id="rId12"/>
    <sheet name="HUS - Cost breakdown" sheetId="13" state="visible" r:id="rId13"/>
    <sheet name="Network length per scenario" sheetId="14" state="visible" r:id="rId14"/>
  </sheets>
  <definedNames>
    <definedName name="_xlnm._FilterDatabase" localSheetId="4" hidden="1">'EUS - Pipes'!$A$1:$AD$109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<sst xmlns="http://schemas.openxmlformats.org/spreadsheetml/2006/main" count="302" uniqueCount="302">
  <si>
    <t xml:space="preserve">Pipe ID</t>
  </si>
  <si>
    <t>Installed</t>
  </si>
  <si>
    <t xml:space="preserve">Diameter [inch]</t>
  </si>
  <si>
    <t xml:space="preserve">Distance until highest point [km]</t>
  </si>
  <si>
    <t xml:space="preserve">Longitude [km]</t>
  </si>
  <si>
    <t xml:space="preserve">Node connections</t>
  </si>
  <si>
    <t xml:space="preserve">Node types</t>
  </si>
  <si>
    <t xml:space="preserve">Initial pressure [bar]</t>
  </si>
  <si>
    <t xml:space="preserve">Pressure at highest point [bar]</t>
  </si>
  <si>
    <t xml:space="preserve">Final pressure [bar]</t>
  </si>
  <si>
    <t xml:space="preserve">Lowest pressure [bar]</t>
  </si>
  <si>
    <t xml:space="preserve">Initial temperature [°C]</t>
  </si>
  <si>
    <t xml:space="preserve">Temperature at critical pressure point [°C]</t>
  </si>
  <si>
    <t xml:space="preserve">Final temperature [°C]</t>
  </si>
  <si>
    <t xml:space="preserve">Lowest temperature [°C]</t>
  </si>
  <si>
    <t xml:space="preserve">Number of boosters</t>
  </si>
  <si>
    <t xml:space="preserve">Booster installation year</t>
  </si>
  <si>
    <t xml:space="preserve">Installation Year</t>
  </si>
  <si>
    <t xml:space="preserve">Present Value Cost [M€]</t>
  </si>
  <si>
    <t>Insulated</t>
  </si>
  <si>
    <t xml:space="preserve">U-value [W/m^2/K]</t>
  </si>
  <si>
    <t xml:space="preserve">Insulation cost [M€]</t>
  </si>
  <si>
    <t xml:space="preserve">Booster delta pressure [bar]</t>
  </si>
  <si>
    <t xml:space="preserve">Booster delta temperature [°C]</t>
  </si>
  <si>
    <t xml:space="preserve">Flow in 2030</t>
  </si>
  <si>
    <t xml:space="preserve">Flow in 2035</t>
  </si>
  <si>
    <t xml:space="preserve">Flow in 2040</t>
  </si>
  <si>
    <t xml:space="preserve">Flow in 2045</t>
  </si>
  <si>
    <t xml:space="preserve">Flow in 2050</t>
  </si>
  <si>
    <t>25_a</t>
  </si>
  <si>
    <t xml:space="preserve">(16, 27)</t>
  </si>
  <si>
    <t xml:space="preserve">('E', 'A')</t>
  </si>
  <si>
    <t>60_a</t>
  </si>
  <si>
    <t xml:space="preserve">(6, 21)</t>
  </si>
  <si>
    <t xml:space="preserve">('K', 'S')</t>
  </si>
  <si>
    <t>1_a</t>
  </si>
  <si>
    <t xml:space="preserve">(19, 27)</t>
  </si>
  <si>
    <t xml:space="preserve">('S', 'A')</t>
  </si>
  <si>
    <t>9_a</t>
  </si>
  <si>
    <t xml:space="preserve">(15, 23)</t>
  </si>
  <si>
    <t xml:space="preserve">('E', 'S')</t>
  </si>
  <si>
    <t>57_b</t>
  </si>
  <si>
    <t xml:space="preserve">(28, 21)</t>
  </si>
  <si>
    <t xml:space="preserve">('A', 'S')</t>
  </si>
  <si>
    <t>56_b</t>
  </si>
  <si>
    <t xml:space="preserve">(18, 15)</t>
  </si>
  <si>
    <t xml:space="preserve">('E', 'E')</t>
  </si>
  <si>
    <t>9_b</t>
  </si>
  <si>
    <t xml:space="preserve">(23, 15)</t>
  </si>
  <si>
    <t xml:space="preserve">('S', 'E')</t>
  </si>
  <si>
    <t>25_b</t>
  </si>
  <si>
    <t xml:space="preserve">(27, 16)</t>
  </si>
  <si>
    <t xml:space="preserve">('A', 'E')</t>
  </si>
  <si>
    <t>28_a</t>
  </si>
  <si>
    <t xml:space="preserve">(13, 16)</t>
  </si>
  <si>
    <t>10_b</t>
  </si>
  <si>
    <t xml:space="preserve">(22, 18)</t>
  </si>
  <si>
    <t>70_a</t>
  </si>
  <si>
    <t xml:space="preserve">(16, 19)</t>
  </si>
  <si>
    <t>67_b</t>
  </si>
  <si>
    <t xml:space="preserve">(26, 11)</t>
  </si>
  <si>
    <t>34_b</t>
  </si>
  <si>
    <t xml:space="preserve">(12, 11)</t>
  </si>
  <si>
    <t>2_a</t>
  </si>
  <si>
    <t xml:space="preserve">(4, 11)</t>
  </si>
  <si>
    <t xml:space="preserve">('K', 'E')</t>
  </si>
  <si>
    <t>49_a</t>
  </si>
  <si>
    <t xml:space="preserve">(17, 25)</t>
  </si>
  <si>
    <t>53_a</t>
  </si>
  <si>
    <t xml:space="preserve">(5, 14)</t>
  </si>
  <si>
    <t>50_a</t>
  </si>
  <si>
    <t xml:space="preserve">(13, 15)</t>
  </si>
  <si>
    <t>56_a</t>
  </si>
  <si>
    <t xml:space="preserve">(15, 18)</t>
  </si>
  <si>
    <t>3_a</t>
  </si>
  <si>
    <t xml:space="preserve">(4, 17)</t>
  </si>
  <si>
    <t>40_a</t>
  </si>
  <si>
    <t xml:space="preserve">(20, 21)</t>
  </si>
  <si>
    <t xml:space="preserve">('S', 'S')</t>
  </si>
  <si>
    <t>28_b</t>
  </si>
  <si>
    <t xml:space="preserve">(16, 13)</t>
  </si>
  <si>
    <t>16_b</t>
  </si>
  <si>
    <t xml:space="preserve">(27, 12)</t>
  </si>
  <si>
    <t>30_b</t>
  </si>
  <si>
    <t xml:space="preserve">(19, 13)</t>
  </si>
  <si>
    <t>19_a</t>
  </si>
  <si>
    <t xml:space="preserve">(14, 24)</t>
  </si>
  <si>
    <t>53_b</t>
  </si>
  <si>
    <t xml:space="preserve">(14, 5)</t>
  </si>
  <si>
    <t xml:space="preserve">('E', 'K')</t>
  </si>
  <si>
    <t>62_a</t>
  </si>
  <si>
    <t xml:space="preserve">(10, 22)</t>
  </si>
  <si>
    <t>68_a</t>
  </si>
  <si>
    <t xml:space="preserve">(12, 19)</t>
  </si>
  <si>
    <t>64_b</t>
  </si>
  <si>
    <t xml:space="preserve">(24, 17)</t>
  </si>
  <si>
    <t>32_b</t>
  </si>
  <si>
    <t xml:space="preserve">(21, 5)</t>
  </si>
  <si>
    <t xml:space="preserve">('S', 'K')</t>
  </si>
  <si>
    <t>43_a</t>
  </si>
  <si>
    <t xml:space="preserve">(14, 17)</t>
  </si>
  <si>
    <t>61_a</t>
  </si>
  <si>
    <t xml:space="preserve">(18, 23)</t>
  </si>
  <si>
    <t>41_b</t>
  </si>
  <si>
    <t xml:space="preserve">(20, 12)</t>
  </si>
  <si>
    <t>29_a</t>
  </si>
  <si>
    <t xml:space="preserve">(5, 12)</t>
  </si>
  <si>
    <t>26_b</t>
  </si>
  <si>
    <t xml:space="preserve">(23, 19)</t>
  </si>
  <si>
    <t>65_b</t>
  </si>
  <si>
    <t xml:space="preserve">(23, 20)</t>
  </si>
  <si>
    <t>41_a</t>
  </si>
  <si>
    <t xml:space="preserve">(12, 20)</t>
  </si>
  <si>
    <t>5_a</t>
  </si>
  <si>
    <t xml:space="preserve">(13, 23)</t>
  </si>
  <si>
    <t>7_b</t>
  </si>
  <si>
    <t xml:space="preserve">(17, 6)</t>
  </si>
  <si>
    <t>14_a</t>
  </si>
  <si>
    <t xml:space="preserve">(10, 21)</t>
  </si>
  <si>
    <t>16_a</t>
  </si>
  <si>
    <t xml:space="preserve">(12, 27)</t>
  </si>
  <si>
    <t>37_b</t>
  </si>
  <si>
    <t xml:space="preserve">(24, 5)</t>
  </si>
  <si>
    <t>47_a</t>
  </si>
  <si>
    <t xml:space="preserve">(12, 26)</t>
  </si>
  <si>
    <t>0_b</t>
  </si>
  <si>
    <t xml:space="preserve">(5, 4)</t>
  </si>
  <si>
    <t xml:space="preserve">('K', 'K')</t>
  </si>
  <si>
    <t>0_a</t>
  </si>
  <si>
    <t xml:space="preserve">(4, 5)</t>
  </si>
  <si>
    <t>17_a</t>
  </si>
  <si>
    <t xml:space="preserve">(11, 25)</t>
  </si>
  <si>
    <t>26_a</t>
  </si>
  <si>
    <t xml:space="preserve">(19, 23)</t>
  </si>
  <si>
    <t>30_a</t>
  </si>
  <si>
    <t xml:space="preserve">(13, 19)</t>
  </si>
  <si>
    <t>3_b</t>
  </si>
  <si>
    <t xml:space="preserve">(17, 4)</t>
  </si>
  <si>
    <t>32_a</t>
  </si>
  <si>
    <t xml:space="preserve">(5, 21)</t>
  </si>
  <si>
    <t>49_b</t>
  </si>
  <si>
    <t xml:space="preserve">(25, 17)</t>
  </si>
  <si>
    <t>47_b</t>
  </si>
  <si>
    <t xml:space="preserve">(26, 12)</t>
  </si>
  <si>
    <t>31_b</t>
  </si>
  <si>
    <t xml:space="preserve">(22, 15)</t>
  </si>
  <si>
    <t>2_b</t>
  </si>
  <si>
    <t xml:space="preserve">(11, 4)</t>
  </si>
  <si>
    <t>4_b</t>
  </si>
  <si>
    <t xml:space="preserve">(14, 6)</t>
  </si>
  <si>
    <t>37_a</t>
  </si>
  <si>
    <t xml:space="preserve">(5, 24)</t>
  </si>
  <si>
    <t>64_a</t>
  </si>
  <si>
    <t xml:space="preserve">(17, 24)</t>
  </si>
  <si>
    <t>44_b</t>
  </si>
  <si>
    <t xml:space="preserve">(23, 12)</t>
  </si>
  <si>
    <t>40_b</t>
  </si>
  <si>
    <t xml:space="preserve">(21, 20)</t>
  </si>
  <si>
    <t>62_b</t>
  </si>
  <si>
    <t xml:space="preserve">(22, 10)</t>
  </si>
  <si>
    <t>36_a</t>
  </si>
  <si>
    <t xml:space="preserve">(10, 20)</t>
  </si>
  <si>
    <t>5_b</t>
  </si>
  <si>
    <t xml:space="preserve">(23, 13)</t>
  </si>
  <si>
    <t>31_a</t>
  </si>
  <si>
    <t xml:space="preserve">(15, 22)</t>
  </si>
  <si>
    <t>44_a</t>
  </si>
  <si>
    <t xml:space="preserve">(12, 23)</t>
  </si>
  <si>
    <t>34_a</t>
  </si>
  <si>
    <t xml:space="preserve">(11, 12)</t>
  </si>
  <si>
    <t>54_b</t>
  </si>
  <si>
    <t xml:space="preserve">(20, 5)</t>
  </si>
  <si>
    <t>13_b</t>
  </si>
  <si>
    <t xml:space="preserve">(22, 20)</t>
  </si>
  <si>
    <t>59_b</t>
  </si>
  <si>
    <t xml:space="preserve">(20, 18)</t>
  </si>
  <si>
    <t>19_b</t>
  </si>
  <si>
    <t xml:space="preserve">(24, 14)</t>
  </si>
  <si>
    <t>7_a</t>
  </si>
  <si>
    <t xml:space="preserve">(6, 17)</t>
  </si>
  <si>
    <t>13_a</t>
  </si>
  <si>
    <t xml:space="preserve">(20, 22)</t>
  </si>
  <si>
    <t>23_a</t>
  </si>
  <si>
    <t xml:space="preserve">(14, 21)</t>
  </si>
  <si>
    <t>65_a</t>
  </si>
  <si>
    <t xml:space="preserve">(20, 23)</t>
  </si>
  <si>
    <t>36_b</t>
  </si>
  <si>
    <t xml:space="preserve">(20, 10)</t>
  </si>
  <si>
    <t>51_b</t>
  </si>
  <si>
    <t xml:space="preserve">(12, 4)</t>
  </si>
  <si>
    <t>23_b</t>
  </si>
  <si>
    <t xml:space="preserve">(21, 14)</t>
  </si>
  <si>
    <t>51_a</t>
  </si>
  <si>
    <t xml:space="preserve">(4, 12)</t>
  </si>
  <si>
    <t>68_b</t>
  </si>
  <si>
    <t xml:space="preserve">(19, 12)</t>
  </si>
  <si>
    <t>57_a</t>
  </si>
  <si>
    <t xml:space="preserve">(21, 28)</t>
  </si>
  <si>
    <t>54_a</t>
  </si>
  <si>
    <t xml:space="preserve">(5, 20)</t>
  </si>
  <si>
    <t>63_b</t>
  </si>
  <si>
    <t xml:space="preserve">(17, 11)</t>
  </si>
  <si>
    <t>50_b</t>
  </si>
  <si>
    <t xml:space="preserve">(15, 13)</t>
  </si>
  <si>
    <t>70_b</t>
  </si>
  <si>
    <t xml:space="preserve">(19, 16)</t>
  </si>
  <si>
    <t>67_a</t>
  </si>
  <si>
    <t xml:space="preserve">(11, 26)</t>
  </si>
  <si>
    <t>60_b</t>
  </si>
  <si>
    <t xml:space="preserve">(21, 6)</t>
  </si>
  <si>
    <t>61_b</t>
  </si>
  <si>
    <t xml:space="preserve">(23, 18)</t>
  </si>
  <si>
    <t>58_b</t>
  </si>
  <si>
    <t xml:space="preserve">(24, 4)</t>
  </si>
  <si>
    <t>29_b</t>
  </si>
  <si>
    <t xml:space="preserve">(12, 5)</t>
  </si>
  <si>
    <t>4_a</t>
  </si>
  <si>
    <t xml:space="preserve">(6, 14)</t>
  </si>
  <si>
    <t>17_b</t>
  </si>
  <si>
    <t xml:space="preserve">(25, 11)</t>
  </si>
  <si>
    <t>63_a</t>
  </si>
  <si>
    <t xml:space="preserve">(11, 17)</t>
  </si>
  <si>
    <t>1_b</t>
  </si>
  <si>
    <t xml:space="preserve">(27, 19)</t>
  </si>
  <si>
    <t>43_b</t>
  </si>
  <si>
    <t xml:space="preserve">(17, 14)</t>
  </si>
  <si>
    <t>59_a</t>
  </si>
  <si>
    <t xml:space="preserve">(18, 20)</t>
  </si>
  <si>
    <t>10_a</t>
  </si>
  <si>
    <t xml:space="preserve">(18, 22)</t>
  </si>
  <si>
    <t>14_b</t>
  </si>
  <si>
    <t xml:space="preserve">(21, 10)</t>
  </si>
  <si>
    <t>58_a</t>
  </si>
  <si>
    <t xml:space="preserve">(4, 24)</t>
  </si>
  <si>
    <t>11_b</t>
  </si>
  <si>
    <t xml:space="preserve">(25, 1)</t>
  </si>
  <si>
    <t>20_b</t>
  </si>
  <si>
    <t xml:space="preserve">(27, 3)</t>
  </si>
  <si>
    <t>52_a</t>
  </si>
  <si>
    <t xml:space="preserve">(2, 26)</t>
  </si>
  <si>
    <t>18_a</t>
  </si>
  <si>
    <t xml:space="preserve">(9, 28)</t>
  </si>
  <si>
    <t>18_b</t>
  </si>
  <si>
    <t xml:space="preserve">(28, 9)</t>
  </si>
  <si>
    <t>52_b</t>
  </si>
  <si>
    <t xml:space="preserve">(26, 2)</t>
  </si>
  <si>
    <t>46_b</t>
  </si>
  <si>
    <t xml:space="preserve">(8, 7)</t>
  </si>
  <si>
    <t>71_b</t>
  </si>
  <si>
    <t xml:space="preserve">(9, 8)</t>
  </si>
  <si>
    <t>11_a</t>
  </si>
  <si>
    <t xml:space="preserve">(1, 25)</t>
  </si>
  <si>
    <t>20_a</t>
  </si>
  <si>
    <t xml:space="preserve">(3, 27)</t>
  </si>
  <si>
    <t>71_a</t>
  </si>
  <si>
    <t xml:space="preserve">(8, 9)</t>
  </si>
  <si>
    <t>46_a</t>
  </si>
  <si>
    <t xml:space="preserve">(7, 8)</t>
  </si>
  <si>
    <t xml:space="preserve">Sink node</t>
  </si>
  <si>
    <t xml:space="preserve">Initial capacity [Mt]</t>
  </si>
  <si>
    <t xml:space="preserve">2030 capacity [Mt]</t>
  </si>
  <si>
    <t xml:space="preserve">2035 capacity [Mt]</t>
  </si>
  <si>
    <t xml:space="preserve">2040 capacity [Mt]</t>
  </si>
  <si>
    <t xml:space="preserve">2045 capacity [Mt]</t>
  </si>
  <si>
    <t xml:space="preserve">2050 capacity [Mt]</t>
  </si>
  <si>
    <t xml:space="preserve">Final capacity [Mt]</t>
  </si>
  <si>
    <t xml:space="preserve">Utilization node</t>
  </si>
  <si>
    <t xml:space="preserve">Utilization capacity [Mt]</t>
  </si>
  <si>
    <t xml:space="preserve">2030 utilization [Mt]</t>
  </si>
  <si>
    <t xml:space="preserve">2035 utilization [Mt]</t>
  </si>
  <si>
    <t xml:space="preserve">2040 utilization [Mt]</t>
  </si>
  <si>
    <t xml:space="preserve">2045 utilization [Mt]</t>
  </si>
  <si>
    <t xml:space="preserve">2050 utilization [Mt]</t>
  </si>
  <si>
    <t>Concept</t>
  </si>
  <si>
    <t>Total</t>
  </si>
  <si>
    <t xml:space="preserve">Capture cost</t>
  </si>
  <si>
    <t xml:space="preserve">Injection cost</t>
  </si>
  <si>
    <t xml:space="preserve">CAPEX onshore pipe</t>
  </si>
  <si>
    <t xml:space="preserve">CAPEX onshore pipe (insulation only)</t>
  </si>
  <si>
    <t xml:space="preserve">CAPEX offshore pipe</t>
  </si>
  <si>
    <t xml:space="preserve">CAPEX initial boosting stations</t>
  </si>
  <si>
    <t xml:space="preserve">CAPEX additional boosting stations</t>
  </si>
  <si>
    <t xml:space="preserve">OPEX onshore pipe</t>
  </si>
  <si>
    <t xml:space="preserve">OPEX onshore pipe (insulation only)</t>
  </si>
  <si>
    <t xml:space="preserve">OPEX offshore pipe</t>
  </si>
  <si>
    <t xml:space="preserve">OPEX initial boosting stations</t>
  </si>
  <si>
    <t xml:space="preserve">OPEX additional boosting stations</t>
  </si>
  <si>
    <t xml:space="preserve">Electricity cost initial boosting stations</t>
  </si>
  <si>
    <t xml:space="preserve">Electricity cost additional boosting stations</t>
  </si>
  <si>
    <t xml:space="preserve">Shipping cost</t>
  </si>
  <si>
    <t xml:space="preserve">Penalty for uncaptured emissions</t>
  </si>
  <si>
    <t xml:space="preserve">CO2 sales revenue</t>
  </si>
  <si>
    <t>TOTAL</t>
  </si>
  <si>
    <t xml:space="preserve">Length [km]</t>
  </si>
  <si>
    <t xml:space="preserve">Pipeline identifier</t>
  </si>
  <si>
    <t xml:space="preserve">Node connection</t>
  </si>
  <si>
    <t xml:space="preserve">Connection type</t>
  </si>
  <si>
    <t xml:space="preserve">Longitude (km)</t>
  </si>
  <si>
    <t>Scenario</t>
  </si>
  <si>
    <t>LUS</t>
  </si>
  <si>
    <t>EUS</t>
  </si>
  <si>
    <t>HUS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</si>
</sst>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center"/>
    </xf>
    <xf fontId="0" fillId="0" borderId="0" numFmtId="0" xfId="0" quotePrefix="0" pivotButton="0"/>
    <xf fontId="1" fillId="0" borderId="2" numFmtId="0" xfId="0" applyFont="1" applyBorder="1" applyAlignment="1" quotePrefix="0" pivotButton="0">
      <alignment horizontal="center" vertical="top"/>
    </xf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theme" Target="theme/theme1.xml"/><Relationship  Id="rId16" Type="http://schemas.openxmlformats.org/officeDocument/2006/relationships/sharedStrings" Target="sharedStrings.xml"/><Relationship  Id="rId17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t="s">
        <v>29</v>
      </c>
      <c r="B2">
        <v>1</v>
      </c>
      <c r="C2">
        <v>38</v>
      </c>
      <c r="D2">
        <v>186.05000000000001</v>
      </c>
      <c r="E2">
        <v>297.07999999999998</v>
      </c>
      <c r="F2" t="s">
        <v>30</v>
      </c>
      <c r="G2" t="s">
        <v>31</v>
      </c>
      <c r="H2">
        <v>150</v>
      </c>
      <c r="I2">
        <v>87.381501019738423</v>
      </c>
      <c r="J2">
        <v>229.1929265244068</v>
      </c>
      <c r="K2">
        <v>87.381501019738423</v>
      </c>
      <c r="L2">
        <v>45</v>
      </c>
      <c r="M2">
        <v>27.095937051814008</v>
      </c>
      <c r="N2">
        <v>40.276309174969981</v>
      </c>
      <c r="O2">
        <v>27.123707637369669</v>
      </c>
      <c r="P2">
        <v>1</v>
      </c>
      <c r="Q2">
        <v>2040</v>
      </c>
      <c r="R2">
        <v>2040</v>
      </c>
      <c r="S2">
        <v>409.55100978735999</v>
      </c>
      <c r="T2" t="b">
        <v>0</v>
      </c>
      <c r="U2">
        <v>2</v>
      </c>
      <c r="V2">
        <v>0</v>
      </c>
      <c r="W2">
        <v>50</v>
      </c>
      <c r="X2">
        <v>10</v>
      </c>
      <c r="Y2">
        <v>0</v>
      </c>
      <c r="Z2">
        <v>0</v>
      </c>
      <c r="AA2">
        <v>92.245999999999867</v>
      </c>
      <c r="AB2">
        <v>107.3900000000048</v>
      </c>
      <c r="AC2">
        <v>110.84999999999999</v>
      </c>
    </row>
    <row r="3">
      <c r="A3" t="s">
        <v>32</v>
      </c>
      <c r="B3">
        <v>0</v>
      </c>
      <c r="D3">
        <v>84.569999999999993</v>
      </c>
      <c r="E3">
        <v>127.09999999999999</v>
      </c>
      <c r="F3" t="s">
        <v>33</v>
      </c>
      <c r="G3" t="s">
        <v>34</v>
      </c>
      <c r="T3" t="b">
        <v>0</v>
      </c>
    </row>
    <row r="4">
      <c r="A4" t="s">
        <v>35</v>
      </c>
      <c r="B4">
        <v>0</v>
      </c>
      <c r="D4">
        <v>350.20999999999998</v>
      </c>
      <c r="E4">
        <v>491.30000000000001</v>
      </c>
      <c r="F4" t="s">
        <v>36</v>
      </c>
      <c r="G4" t="s">
        <v>37</v>
      </c>
      <c r="T4" t="b">
        <v>0</v>
      </c>
    </row>
    <row r="5">
      <c r="A5" t="s">
        <v>38</v>
      </c>
      <c r="B5">
        <v>0</v>
      </c>
      <c r="D5">
        <v>482.27999999999997</v>
      </c>
      <c r="E5">
        <v>484.77999999999997</v>
      </c>
      <c r="F5" t="s">
        <v>39</v>
      </c>
      <c r="G5" t="s">
        <v>40</v>
      </c>
      <c r="T5" t="b">
        <v>0</v>
      </c>
    </row>
    <row r="6">
      <c r="A6" t="s">
        <v>41</v>
      </c>
      <c r="B6">
        <v>0</v>
      </c>
      <c r="D6">
        <v>85.120000000000005</v>
      </c>
      <c r="E6">
        <v>166.22999999999999</v>
      </c>
      <c r="F6" t="s">
        <v>42</v>
      </c>
      <c r="G6" t="s">
        <v>43</v>
      </c>
      <c r="T6" t="b">
        <v>0</v>
      </c>
    </row>
    <row r="7">
      <c r="A7" t="s">
        <v>44</v>
      </c>
      <c r="B7">
        <v>0</v>
      </c>
      <c r="D7">
        <v>222.78</v>
      </c>
      <c r="E7">
        <v>263.82999999999998</v>
      </c>
      <c r="F7" t="s">
        <v>45</v>
      </c>
      <c r="G7" t="s">
        <v>46</v>
      </c>
      <c r="T7" t="b">
        <v>0</v>
      </c>
    </row>
    <row r="8">
      <c r="A8" t="s">
        <v>47</v>
      </c>
      <c r="B8">
        <v>0</v>
      </c>
      <c r="D8">
        <v>2.5</v>
      </c>
      <c r="E8">
        <v>484.77999999999997</v>
      </c>
      <c r="F8" t="s">
        <v>48</v>
      </c>
      <c r="G8" t="s">
        <v>49</v>
      </c>
      <c r="T8" t="b">
        <v>0</v>
      </c>
    </row>
    <row r="9">
      <c r="A9" t="s">
        <v>50</v>
      </c>
      <c r="B9">
        <v>0</v>
      </c>
      <c r="D9">
        <v>109.53</v>
      </c>
      <c r="E9">
        <v>297.07999999999998</v>
      </c>
      <c r="F9" t="s">
        <v>51</v>
      </c>
      <c r="G9" t="s">
        <v>52</v>
      </c>
      <c r="T9" t="b">
        <v>0</v>
      </c>
    </row>
    <row r="10">
      <c r="A10" t="s">
        <v>53</v>
      </c>
      <c r="B10">
        <v>0</v>
      </c>
      <c r="D10">
        <v>207.56999999999999</v>
      </c>
      <c r="E10">
        <v>496.16000000000003</v>
      </c>
      <c r="F10" t="s">
        <v>54</v>
      </c>
      <c r="G10" t="s">
        <v>46</v>
      </c>
      <c r="T10" t="b">
        <v>0</v>
      </c>
    </row>
    <row r="11">
      <c r="A11" t="s">
        <v>55</v>
      </c>
      <c r="B11">
        <v>0</v>
      </c>
      <c r="D11">
        <v>132.71000000000001</v>
      </c>
      <c r="E11">
        <v>141.72999999999999</v>
      </c>
      <c r="F11" t="s">
        <v>56</v>
      </c>
      <c r="G11" t="s">
        <v>49</v>
      </c>
      <c r="T11" t="b">
        <v>0</v>
      </c>
    </row>
    <row r="12">
      <c r="A12" t="s">
        <v>57</v>
      </c>
      <c r="B12">
        <v>0</v>
      </c>
      <c r="D12">
        <v>64.079999999999998</v>
      </c>
      <c r="E12">
        <v>369.45999999999998</v>
      </c>
      <c r="F12" t="s">
        <v>58</v>
      </c>
      <c r="G12" t="s">
        <v>40</v>
      </c>
      <c r="T12" t="b">
        <v>0</v>
      </c>
    </row>
    <row r="13">
      <c r="A13" t="s">
        <v>59</v>
      </c>
      <c r="B13">
        <v>0</v>
      </c>
      <c r="D13">
        <v>85.340000000000003</v>
      </c>
      <c r="E13">
        <v>110.44</v>
      </c>
      <c r="F13" t="s">
        <v>60</v>
      </c>
      <c r="G13" t="s">
        <v>52</v>
      </c>
      <c r="T13" t="b">
        <v>0</v>
      </c>
    </row>
    <row r="14">
      <c r="A14" t="s">
        <v>61</v>
      </c>
      <c r="B14">
        <v>0</v>
      </c>
      <c r="D14">
        <v>200.08000000000001</v>
      </c>
      <c r="E14">
        <v>553.72000000000003</v>
      </c>
      <c r="F14" t="s">
        <v>62</v>
      </c>
      <c r="G14" t="s">
        <v>46</v>
      </c>
      <c r="T14" t="b">
        <v>0</v>
      </c>
    </row>
    <row r="15">
      <c r="A15" t="s">
        <v>63</v>
      </c>
      <c r="B15">
        <v>0</v>
      </c>
      <c r="D15">
        <v>120.09</v>
      </c>
      <c r="E15">
        <v>448.82999999999998</v>
      </c>
      <c r="F15" t="s">
        <v>64</v>
      </c>
      <c r="G15" t="s">
        <v>65</v>
      </c>
      <c r="T15" t="b">
        <v>0</v>
      </c>
    </row>
    <row r="16">
      <c r="A16" t="s">
        <v>66</v>
      </c>
      <c r="B16">
        <v>0</v>
      </c>
      <c r="D16">
        <v>165.53</v>
      </c>
      <c r="E16">
        <v>302.06</v>
      </c>
      <c r="F16" t="s">
        <v>67</v>
      </c>
      <c r="G16" t="s">
        <v>31</v>
      </c>
      <c r="T16" t="b">
        <v>0</v>
      </c>
    </row>
    <row r="17">
      <c r="A17" t="s">
        <v>68</v>
      </c>
      <c r="B17">
        <v>0</v>
      </c>
      <c r="D17">
        <v>339.38999999999999</v>
      </c>
      <c r="E17">
        <v>371.42000000000002</v>
      </c>
      <c r="F17" t="s">
        <v>69</v>
      </c>
      <c r="G17" t="s">
        <v>65</v>
      </c>
      <c r="T17" t="b">
        <v>0</v>
      </c>
    </row>
    <row r="18">
      <c r="A18" t="s">
        <v>70</v>
      </c>
      <c r="B18">
        <v>0</v>
      </c>
      <c r="D18">
        <v>229</v>
      </c>
      <c r="E18">
        <v>561.50999999999999</v>
      </c>
      <c r="F18" t="s">
        <v>71</v>
      </c>
      <c r="G18" t="s">
        <v>46</v>
      </c>
      <c r="T18" t="b">
        <v>0</v>
      </c>
    </row>
    <row r="19">
      <c r="A19" t="s">
        <v>72</v>
      </c>
      <c r="B19">
        <v>0</v>
      </c>
      <c r="D19">
        <v>41.049999999999997</v>
      </c>
      <c r="E19">
        <v>263.82999999999998</v>
      </c>
      <c r="F19" t="s">
        <v>73</v>
      </c>
      <c r="G19" t="s">
        <v>46</v>
      </c>
      <c r="T19" t="b">
        <v>0</v>
      </c>
    </row>
    <row r="20">
      <c r="A20" t="s">
        <v>74</v>
      </c>
      <c r="B20">
        <v>0</v>
      </c>
      <c r="D20">
        <v>11.06</v>
      </c>
      <c r="E20">
        <v>68.849999999999994</v>
      </c>
      <c r="F20" t="s">
        <v>75</v>
      </c>
      <c r="G20" t="s">
        <v>65</v>
      </c>
      <c r="T20" t="b">
        <v>0</v>
      </c>
    </row>
    <row r="21">
      <c r="A21" t="s">
        <v>76</v>
      </c>
      <c r="B21">
        <v>0</v>
      </c>
      <c r="D21">
        <v>116.65000000000001</v>
      </c>
      <c r="E21">
        <v>326.42000000000002</v>
      </c>
      <c r="F21" t="s">
        <v>77</v>
      </c>
      <c r="G21" t="s">
        <v>78</v>
      </c>
      <c r="T21" t="b">
        <v>0</v>
      </c>
    </row>
    <row r="22">
      <c r="A22" t="s">
        <v>79</v>
      </c>
      <c r="B22">
        <v>0</v>
      </c>
      <c r="D22">
        <v>288.58999999999997</v>
      </c>
      <c r="E22">
        <v>496.16000000000003</v>
      </c>
      <c r="F22" t="s">
        <v>80</v>
      </c>
      <c r="G22" t="s">
        <v>46</v>
      </c>
      <c r="T22" t="b">
        <v>0</v>
      </c>
    </row>
    <row r="23">
      <c r="A23" t="s">
        <v>81</v>
      </c>
      <c r="B23">
        <v>0</v>
      </c>
      <c r="D23">
        <v>524.22000000000003</v>
      </c>
      <c r="E23">
        <v>555.74000000000001</v>
      </c>
      <c r="F23" t="s">
        <v>82</v>
      </c>
      <c r="G23" t="s">
        <v>52</v>
      </c>
      <c r="T23" t="b">
        <v>0</v>
      </c>
    </row>
    <row r="24">
      <c r="A24" t="s">
        <v>83</v>
      </c>
      <c r="B24">
        <v>0</v>
      </c>
      <c r="D24">
        <v>199.06</v>
      </c>
      <c r="E24">
        <v>243.08000000000001</v>
      </c>
      <c r="F24" t="s">
        <v>84</v>
      </c>
      <c r="G24" t="s">
        <v>49</v>
      </c>
      <c r="T24" t="b">
        <v>0</v>
      </c>
    </row>
    <row r="25">
      <c r="A25" t="s">
        <v>85</v>
      </c>
      <c r="B25">
        <v>0</v>
      </c>
      <c r="D25">
        <v>55.079999999999998</v>
      </c>
      <c r="E25">
        <v>130.69999999999999</v>
      </c>
      <c r="F25" t="s">
        <v>86</v>
      </c>
      <c r="G25" t="s">
        <v>40</v>
      </c>
      <c r="T25" t="b">
        <v>0</v>
      </c>
    </row>
    <row r="26">
      <c r="A26" t="s">
        <v>87</v>
      </c>
      <c r="B26">
        <v>0</v>
      </c>
      <c r="D26">
        <v>32.039999999999999</v>
      </c>
      <c r="E26">
        <v>371.42000000000002</v>
      </c>
      <c r="F26" t="s">
        <v>88</v>
      </c>
      <c r="G26" t="s">
        <v>89</v>
      </c>
      <c r="T26" t="b">
        <v>0</v>
      </c>
    </row>
    <row r="27">
      <c r="A27" t="s">
        <v>90</v>
      </c>
      <c r="B27">
        <v>0</v>
      </c>
      <c r="D27">
        <v>85.739999999999995</v>
      </c>
      <c r="E27">
        <v>147.41</v>
      </c>
      <c r="F27" t="s">
        <v>91</v>
      </c>
      <c r="G27" t="s">
        <v>40</v>
      </c>
      <c r="T27" t="b">
        <v>0</v>
      </c>
    </row>
    <row r="28">
      <c r="A28" t="s">
        <v>92</v>
      </c>
      <c r="B28">
        <v>0</v>
      </c>
      <c r="D28">
        <v>29.030000000000001</v>
      </c>
      <c r="E28">
        <v>189.69</v>
      </c>
      <c r="F28" t="s">
        <v>93</v>
      </c>
      <c r="G28" t="s">
        <v>40</v>
      </c>
      <c r="T28" t="b">
        <v>0</v>
      </c>
    </row>
    <row r="29">
      <c r="A29" t="s">
        <v>94</v>
      </c>
      <c r="B29">
        <v>0</v>
      </c>
      <c r="D29">
        <v>23.010000000000002</v>
      </c>
      <c r="E29">
        <v>245.06</v>
      </c>
      <c r="F29" t="s">
        <v>95</v>
      </c>
      <c r="G29" t="s">
        <v>49</v>
      </c>
      <c r="T29" t="b">
        <v>0</v>
      </c>
    </row>
    <row r="30">
      <c r="A30" t="s">
        <v>96</v>
      </c>
      <c r="B30">
        <v>0</v>
      </c>
      <c r="D30">
        <v>41.520000000000003</v>
      </c>
      <c r="E30">
        <v>345.18000000000001</v>
      </c>
      <c r="F30" t="s">
        <v>97</v>
      </c>
      <c r="G30" t="s">
        <v>98</v>
      </c>
      <c r="T30" t="b">
        <v>0</v>
      </c>
    </row>
    <row r="31">
      <c r="A31" t="s">
        <v>99</v>
      </c>
      <c r="B31">
        <v>0</v>
      </c>
      <c r="D31">
        <v>148.58000000000001</v>
      </c>
      <c r="E31">
        <v>370.19</v>
      </c>
      <c r="F31" t="s">
        <v>100</v>
      </c>
      <c r="G31" t="s">
        <v>46</v>
      </c>
      <c r="T31" t="b">
        <v>0</v>
      </c>
    </row>
    <row r="32">
      <c r="A32" t="s">
        <v>101</v>
      </c>
      <c r="B32">
        <v>0</v>
      </c>
      <c r="D32">
        <v>229.52000000000001</v>
      </c>
      <c r="E32">
        <v>233.52000000000001</v>
      </c>
      <c r="F32" t="s">
        <v>102</v>
      </c>
      <c r="G32" t="s">
        <v>40</v>
      </c>
      <c r="T32" t="b">
        <v>0</v>
      </c>
    </row>
    <row r="33">
      <c r="A33" t="s">
        <v>103</v>
      </c>
      <c r="B33">
        <v>0</v>
      </c>
      <c r="D33">
        <v>100.59999999999999</v>
      </c>
      <c r="E33">
        <v>100.59999999999999</v>
      </c>
      <c r="F33" t="s">
        <v>104</v>
      </c>
      <c r="G33" t="s">
        <v>49</v>
      </c>
      <c r="T33" t="b">
        <v>0</v>
      </c>
    </row>
    <row r="34">
      <c r="A34" t="s">
        <v>105</v>
      </c>
      <c r="B34">
        <v>0</v>
      </c>
      <c r="D34">
        <v>78.120000000000005</v>
      </c>
      <c r="E34">
        <v>78.120000000000005</v>
      </c>
      <c r="F34" t="s">
        <v>106</v>
      </c>
      <c r="G34" t="s">
        <v>65</v>
      </c>
      <c r="T34" t="b">
        <v>0</v>
      </c>
    </row>
    <row r="35">
      <c r="A35" t="s">
        <v>107</v>
      </c>
      <c r="B35">
        <v>0</v>
      </c>
      <c r="D35">
        <v>134.71000000000001</v>
      </c>
      <c r="E35">
        <v>263.91000000000003</v>
      </c>
      <c r="F35" t="s">
        <v>108</v>
      </c>
      <c r="G35" t="s">
        <v>78</v>
      </c>
      <c r="T35" t="b">
        <v>0</v>
      </c>
    </row>
    <row r="36">
      <c r="A36" t="s">
        <v>109</v>
      </c>
      <c r="B36">
        <v>0</v>
      </c>
      <c r="D36">
        <v>93.099999999999994</v>
      </c>
      <c r="E36">
        <v>361.88</v>
      </c>
      <c r="F36" t="s">
        <v>110</v>
      </c>
      <c r="G36" t="s">
        <v>78</v>
      </c>
      <c r="T36" t="b">
        <v>0</v>
      </c>
    </row>
    <row r="37">
      <c r="A37" t="s">
        <v>111</v>
      </c>
      <c r="B37">
        <v>0</v>
      </c>
      <c r="D37">
        <v>0</v>
      </c>
      <c r="E37">
        <v>100.59999999999999</v>
      </c>
      <c r="F37" t="s">
        <v>112</v>
      </c>
      <c r="G37" t="s">
        <v>40</v>
      </c>
      <c r="T37" t="b">
        <v>0</v>
      </c>
    </row>
    <row r="38">
      <c r="A38" t="s">
        <v>113</v>
      </c>
      <c r="B38">
        <v>1</v>
      </c>
      <c r="C38">
        <v>30</v>
      </c>
      <c r="D38">
        <v>65.689999999999998</v>
      </c>
      <c r="E38">
        <v>80.230000000000004</v>
      </c>
      <c r="F38" t="s">
        <v>114</v>
      </c>
      <c r="G38" t="s">
        <v>40</v>
      </c>
      <c r="H38">
        <v>150</v>
      </c>
      <c r="I38">
        <v>113.3821431187982</v>
      </c>
      <c r="J38">
        <v>142.06171310093649</v>
      </c>
      <c r="K38">
        <v>113.3821431187982</v>
      </c>
      <c r="L38">
        <v>45</v>
      </c>
      <c r="M38">
        <v>35.774081207484478</v>
      </c>
      <c r="N38">
        <v>37.353684875527698</v>
      </c>
      <c r="O38">
        <v>35.145913034755282</v>
      </c>
      <c r="P38">
        <v>0</v>
      </c>
      <c r="R38">
        <v>2035</v>
      </c>
      <c r="S38">
        <v>115.19613143949999</v>
      </c>
      <c r="T38" t="b">
        <v>0</v>
      </c>
      <c r="U38">
        <v>2</v>
      </c>
      <c r="V38">
        <v>0</v>
      </c>
      <c r="Y38">
        <v>0</v>
      </c>
      <c r="Z38">
        <v>57.46000000000052</v>
      </c>
      <c r="AA38">
        <v>60.520000000000003</v>
      </c>
      <c r="AB38">
        <v>63.920000000004023</v>
      </c>
      <c r="AC38">
        <v>67.670000000000002</v>
      </c>
    </row>
    <row r="39">
      <c r="A39" t="s">
        <v>115</v>
      </c>
      <c r="B39">
        <v>0</v>
      </c>
      <c r="D39">
        <v>167.02000000000001</v>
      </c>
      <c r="E39">
        <v>518.05999999999995</v>
      </c>
      <c r="F39" t="s">
        <v>116</v>
      </c>
      <c r="G39" t="s">
        <v>89</v>
      </c>
      <c r="T39" t="b">
        <v>0</v>
      </c>
    </row>
    <row r="40">
      <c r="A40" t="s">
        <v>117</v>
      </c>
      <c r="B40">
        <v>1</v>
      </c>
      <c r="C40">
        <v>26</v>
      </c>
      <c r="D40">
        <v>147.03</v>
      </c>
      <c r="E40">
        <v>222.05000000000001</v>
      </c>
      <c r="F40" t="s">
        <v>118</v>
      </c>
      <c r="G40" t="s">
        <v>40</v>
      </c>
      <c r="H40">
        <v>150</v>
      </c>
      <c r="I40">
        <v>78.240189616949976</v>
      </c>
      <c r="J40">
        <v>141.68952242732871</v>
      </c>
      <c r="K40">
        <v>78.240189616949976</v>
      </c>
      <c r="L40">
        <v>45</v>
      </c>
      <c r="M40">
        <v>32.339456206995933</v>
      </c>
      <c r="N40">
        <v>43.137130582981413</v>
      </c>
      <c r="O40">
        <v>31.640110306051049</v>
      </c>
      <c r="P40">
        <v>1</v>
      </c>
      <c r="Q40">
        <v>2045</v>
      </c>
      <c r="R40">
        <v>2045</v>
      </c>
      <c r="S40">
        <v>223.74703613247931</v>
      </c>
      <c r="T40" t="b">
        <v>1</v>
      </c>
      <c r="U40">
        <v>0.42999999999999999</v>
      </c>
      <c r="V40">
        <v>63.927724609279792</v>
      </c>
      <c r="W40">
        <v>50</v>
      </c>
      <c r="X40">
        <v>10</v>
      </c>
      <c r="Y40">
        <v>0</v>
      </c>
      <c r="Z40">
        <v>0</v>
      </c>
      <c r="AA40">
        <v>0</v>
      </c>
      <c r="AB40">
        <v>36.819499999995038</v>
      </c>
      <c r="AC40">
        <v>55.110648211446239</v>
      </c>
    </row>
    <row r="41">
      <c r="A41" t="s">
        <v>119</v>
      </c>
      <c r="B41">
        <v>0</v>
      </c>
      <c r="D41">
        <v>30.510000000000002</v>
      </c>
      <c r="E41">
        <v>555.74000000000001</v>
      </c>
      <c r="F41" t="s">
        <v>120</v>
      </c>
      <c r="G41" t="s">
        <v>31</v>
      </c>
      <c r="T41" t="b">
        <v>0</v>
      </c>
    </row>
    <row r="42">
      <c r="A42" t="s">
        <v>121</v>
      </c>
      <c r="B42">
        <v>0</v>
      </c>
      <c r="D42">
        <v>86.530000000000001</v>
      </c>
      <c r="E42">
        <v>347.61000000000001</v>
      </c>
      <c r="F42" t="s">
        <v>122</v>
      </c>
      <c r="G42" t="s">
        <v>98</v>
      </c>
      <c r="T42" t="b">
        <v>0</v>
      </c>
    </row>
    <row r="43">
      <c r="A43" t="s">
        <v>123</v>
      </c>
      <c r="B43">
        <v>0</v>
      </c>
      <c r="D43">
        <v>31.510000000000002</v>
      </c>
      <c r="E43">
        <v>562.63</v>
      </c>
      <c r="F43" t="s">
        <v>124</v>
      </c>
      <c r="G43" t="s">
        <v>31</v>
      </c>
      <c r="T43" t="b">
        <v>0</v>
      </c>
    </row>
    <row r="44">
      <c r="A44" t="s">
        <v>125</v>
      </c>
      <c r="B44">
        <v>0</v>
      </c>
      <c r="D44">
        <v>121.13</v>
      </c>
      <c r="E44">
        <v>423.45999999999998</v>
      </c>
      <c r="F44" t="s">
        <v>126</v>
      </c>
      <c r="G44" t="s">
        <v>127</v>
      </c>
      <c r="T44" t="b">
        <v>0</v>
      </c>
    </row>
    <row r="45">
      <c r="A45" t="s">
        <v>128</v>
      </c>
      <c r="B45">
        <v>0</v>
      </c>
      <c r="D45">
        <v>302.32999999999998</v>
      </c>
      <c r="E45">
        <v>423.45999999999998</v>
      </c>
      <c r="F45" t="s">
        <v>129</v>
      </c>
      <c r="G45" t="s">
        <v>127</v>
      </c>
      <c r="T45" t="b">
        <v>0</v>
      </c>
    </row>
    <row r="46">
      <c r="A46" t="s">
        <v>130</v>
      </c>
      <c r="B46">
        <v>0</v>
      </c>
      <c r="D46">
        <v>295.43000000000001</v>
      </c>
      <c r="E46">
        <v>336.49000000000001</v>
      </c>
      <c r="F46" t="s">
        <v>131</v>
      </c>
      <c r="G46" t="s">
        <v>31</v>
      </c>
      <c r="T46" t="b">
        <v>0</v>
      </c>
    </row>
    <row r="47">
      <c r="A47" t="s">
        <v>132</v>
      </c>
      <c r="B47">
        <v>0</v>
      </c>
      <c r="D47">
        <v>129.19999999999999</v>
      </c>
      <c r="E47">
        <v>263.91000000000003</v>
      </c>
      <c r="F47" t="s">
        <v>133</v>
      </c>
      <c r="G47" t="s">
        <v>78</v>
      </c>
      <c r="T47" t="b">
        <v>0</v>
      </c>
    </row>
    <row r="48">
      <c r="A48" t="s">
        <v>134</v>
      </c>
      <c r="B48">
        <v>0</v>
      </c>
      <c r="D48">
        <v>44.009999999999998</v>
      </c>
      <c r="E48">
        <v>243.08000000000001</v>
      </c>
      <c r="F48" t="s">
        <v>135</v>
      </c>
      <c r="G48" t="s">
        <v>40</v>
      </c>
      <c r="T48" t="b">
        <v>0</v>
      </c>
    </row>
    <row r="49">
      <c r="A49" t="s">
        <v>136</v>
      </c>
      <c r="B49">
        <v>1</v>
      </c>
      <c r="C49">
        <v>34</v>
      </c>
      <c r="D49">
        <v>57.789999999999999</v>
      </c>
      <c r="E49">
        <v>68.849999999999994</v>
      </c>
      <c r="F49" t="s">
        <v>137</v>
      </c>
      <c r="G49" t="s">
        <v>89</v>
      </c>
      <c r="H49">
        <v>150</v>
      </c>
      <c r="I49">
        <v>138.18312276452789</v>
      </c>
      <c r="J49">
        <v>143.13227088609369</v>
      </c>
      <c r="K49">
        <v>138.18312276452789</v>
      </c>
      <c r="L49">
        <v>45</v>
      </c>
      <c r="M49">
        <v>39.013583780379747</v>
      </c>
      <c r="N49">
        <v>38.693961742678077</v>
      </c>
      <c r="O49">
        <v>38.535900856441799</v>
      </c>
      <c r="P49">
        <v>0</v>
      </c>
      <c r="R49">
        <v>2045</v>
      </c>
      <c r="S49">
        <v>61.923116204099983</v>
      </c>
      <c r="T49" t="b">
        <v>0</v>
      </c>
      <c r="U49">
        <v>2</v>
      </c>
      <c r="V49">
        <v>0</v>
      </c>
      <c r="Y49">
        <v>0</v>
      </c>
      <c r="Z49">
        <v>0</v>
      </c>
      <c r="AA49">
        <v>0</v>
      </c>
      <c r="AB49">
        <v>74.210000000000818</v>
      </c>
      <c r="AC49">
        <v>75</v>
      </c>
    </row>
    <row r="50">
      <c r="A50" t="s">
        <v>138</v>
      </c>
      <c r="B50">
        <v>0</v>
      </c>
      <c r="D50">
        <v>303.66000000000003</v>
      </c>
      <c r="E50">
        <v>345.18000000000001</v>
      </c>
      <c r="F50" t="s">
        <v>139</v>
      </c>
      <c r="G50" t="s">
        <v>34</v>
      </c>
      <c r="T50" t="b">
        <v>0</v>
      </c>
    </row>
    <row r="51">
      <c r="A51" t="s">
        <v>140</v>
      </c>
      <c r="B51">
        <v>0</v>
      </c>
      <c r="D51">
        <v>48.509999999999998</v>
      </c>
      <c r="E51">
        <v>302.06</v>
      </c>
      <c r="F51" t="s">
        <v>141</v>
      </c>
      <c r="G51" t="s">
        <v>52</v>
      </c>
      <c r="T51" t="b">
        <v>0</v>
      </c>
    </row>
    <row r="52">
      <c r="A52" t="s">
        <v>142</v>
      </c>
      <c r="B52">
        <v>0</v>
      </c>
      <c r="D52">
        <v>530.62</v>
      </c>
      <c r="E52">
        <v>562.63</v>
      </c>
      <c r="F52" t="s">
        <v>143</v>
      </c>
      <c r="G52" t="s">
        <v>52</v>
      </c>
      <c r="T52" t="b">
        <v>0</v>
      </c>
    </row>
    <row r="53">
      <c r="A53" t="s">
        <v>144</v>
      </c>
      <c r="B53">
        <v>0</v>
      </c>
      <c r="D53">
        <v>142.80000000000001</v>
      </c>
      <c r="E53">
        <v>228.47999999999999</v>
      </c>
      <c r="F53" t="s">
        <v>145</v>
      </c>
      <c r="G53" t="s">
        <v>49</v>
      </c>
      <c r="T53" t="b">
        <v>0</v>
      </c>
    </row>
    <row r="54">
      <c r="A54" t="s">
        <v>146</v>
      </c>
      <c r="B54">
        <v>0</v>
      </c>
      <c r="D54">
        <v>328.74000000000001</v>
      </c>
      <c r="E54">
        <v>448.82999999999998</v>
      </c>
      <c r="F54" t="s">
        <v>147</v>
      </c>
      <c r="G54" t="s">
        <v>89</v>
      </c>
      <c r="T54" t="b">
        <v>0</v>
      </c>
    </row>
    <row r="55">
      <c r="A55" t="s">
        <v>148</v>
      </c>
      <c r="B55">
        <v>1</v>
      </c>
      <c r="C55">
        <v>30</v>
      </c>
      <c r="D55">
        <v>51.619999999999997</v>
      </c>
      <c r="E55">
        <v>151.34999999999999</v>
      </c>
      <c r="F55" t="s">
        <v>149</v>
      </c>
      <c r="G55" t="s">
        <v>89</v>
      </c>
      <c r="H55">
        <v>150</v>
      </c>
      <c r="I55">
        <v>105.252000604771</v>
      </c>
      <c r="J55">
        <v>195.2647168453785</v>
      </c>
      <c r="K55">
        <v>105.252000604771</v>
      </c>
      <c r="L55">
        <v>45</v>
      </c>
      <c r="M55">
        <v>35.051578266963872</v>
      </c>
      <c r="N55">
        <v>34.11840926461683</v>
      </c>
      <c r="O55">
        <v>33.907368567036997</v>
      </c>
      <c r="P55">
        <v>0</v>
      </c>
      <c r="R55">
        <v>2035</v>
      </c>
      <c r="S55">
        <v>212.96980657499989</v>
      </c>
      <c r="T55" t="b">
        <v>0</v>
      </c>
      <c r="U55">
        <v>2</v>
      </c>
      <c r="V55">
        <v>0</v>
      </c>
      <c r="Y55">
        <v>0</v>
      </c>
      <c r="Z55">
        <v>27.13200000000003</v>
      </c>
      <c r="AA55">
        <v>34.685999999999993</v>
      </c>
      <c r="AB55">
        <v>0</v>
      </c>
      <c r="AC55">
        <v>37.172148211447961</v>
      </c>
    </row>
    <row r="56">
      <c r="A56" t="s">
        <v>150</v>
      </c>
      <c r="B56">
        <v>0</v>
      </c>
      <c r="D56">
        <v>261.07999999999998</v>
      </c>
      <c r="E56">
        <v>347.61000000000001</v>
      </c>
      <c r="F56" t="s">
        <v>151</v>
      </c>
      <c r="G56" t="s">
        <v>34</v>
      </c>
      <c r="T56" t="b">
        <v>0</v>
      </c>
    </row>
    <row r="57">
      <c r="A57" t="s">
        <v>152</v>
      </c>
      <c r="B57">
        <v>0</v>
      </c>
      <c r="D57">
        <v>222.05000000000001</v>
      </c>
      <c r="E57">
        <v>245.06</v>
      </c>
      <c r="F57" t="s">
        <v>153</v>
      </c>
      <c r="G57" t="s">
        <v>40</v>
      </c>
      <c r="T57" t="b">
        <v>0</v>
      </c>
    </row>
    <row r="58">
      <c r="A58" t="s">
        <v>154</v>
      </c>
      <c r="B58">
        <v>0</v>
      </c>
      <c r="D58">
        <v>258.26999999999998</v>
      </c>
      <c r="E58">
        <v>348.87</v>
      </c>
      <c r="F58" t="s">
        <v>155</v>
      </c>
      <c r="G58" t="s">
        <v>49</v>
      </c>
      <c r="T58" t="b">
        <v>0</v>
      </c>
    </row>
    <row r="59">
      <c r="A59" t="s">
        <v>156</v>
      </c>
      <c r="B59">
        <v>0</v>
      </c>
      <c r="D59">
        <v>209.77000000000001</v>
      </c>
      <c r="E59">
        <v>326.42000000000002</v>
      </c>
      <c r="F59" t="s">
        <v>157</v>
      </c>
      <c r="G59" t="s">
        <v>78</v>
      </c>
      <c r="T59" t="b">
        <v>0</v>
      </c>
    </row>
    <row r="60">
      <c r="A60" t="s">
        <v>158</v>
      </c>
      <c r="B60">
        <v>0</v>
      </c>
      <c r="D60">
        <v>61.670000000000002</v>
      </c>
      <c r="E60">
        <v>147.41</v>
      </c>
      <c r="F60" t="s">
        <v>159</v>
      </c>
      <c r="G60" t="s">
        <v>49</v>
      </c>
      <c r="T60" t="b">
        <v>0</v>
      </c>
    </row>
    <row r="61">
      <c r="A61" t="s">
        <v>160</v>
      </c>
      <c r="B61">
        <v>0</v>
      </c>
      <c r="D61">
        <v>77.079999999999998</v>
      </c>
      <c r="E61">
        <v>325.82999999999998</v>
      </c>
      <c r="F61" t="s">
        <v>161</v>
      </c>
      <c r="G61" t="s">
        <v>40</v>
      </c>
      <c r="T61" t="b">
        <v>0</v>
      </c>
    </row>
    <row r="62">
      <c r="A62" t="s">
        <v>162</v>
      </c>
      <c r="B62">
        <v>0</v>
      </c>
      <c r="D62">
        <v>14.539999999999999</v>
      </c>
      <c r="E62">
        <v>80.230000000000004</v>
      </c>
      <c r="F62" t="s">
        <v>163</v>
      </c>
      <c r="G62" t="s">
        <v>49</v>
      </c>
      <c r="T62" t="b">
        <v>0</v>
      </c>
    </row>
    <row r="63">
      <c r="A63" t="s">
        <v>164</v>
      </c>
      <c r="B63">
        <v>1</v>
      </c>
      <c r="C63">
        <v>30</v>
      </c>
      <c r="D63">
        <v>85.680000000000007</v>
      </c>
      <c r="E63">
        <v>228.47999999999999</v>
      </c>
      <c r="F63" t="s">
        <v>165</v>
      </c>
      <c r="G63" t="s">
        <v>40</v>
      </c>
      <c r="H63">
        <v>150</v>
      </c>
      <c r="I63">
        <v>96.01490431867812</v>
      </c>
      <c r="J63">
        <v>157.9277203766535</v>
      </c>
      <c r="K63">
        <v>96.01490431867812</v>
      </c>
      <c r="L63">
        <v>45</v>
      </c>
      <c r="M63">
        <v>36.282553390452129</v>
      </c>
      <c r="N63">
        <v>47.696959192666291</v>
      </c>
      <c r="O63">
        <v>36.683907297240502</v>
      </c>
      <c r="P63">
        <v>1</v>
      </c>
      <c r="Q63">
        <v>2050</v>
      </c>
      <c r="R63">
        <v>2050</v>
      </c>
      <c r="S63">
        <v>201.35991532339199</v>
      </c>
      <c r="T63" t="b">
        <v>1</v>
      </c>
      <c r="U63">
        <v>0.42999999999999999</v>
      </c>
      <c r="V63">
        <v>57.531404378111972</v>
      </c>
      <c r="W63">
        <v>50</v>
      </c>
      <c r="X63">
        <v>10</v>
      </c>
      <c r="Y63">
        <v>0</v>
      </c>
      <c r="Z63">
        <v>0</v>
      </c>
      <c r="AA63">
        <v>0</v>
      </c>
      <c r="AB63">
        <v>0</v>
      </c>
      <c r="AC63">
        <v>73.040000000001086</v>
      </c>
    </row>
    <row r="64">
      <c r="A64" t="s">
        <v>166</v>
      </c>
      <c r="B64">
        <v>0</v>
      </c>
      <c r="D64">
        <v>90.599999999999994</v>
      </c>
      <c r="E64">
        <v>348.87</v>
      </c>
      <c r="F64" t="s">
        <v>167</v>
      </c>
      <c r="G64" t="s">
        <v>40</v>
      </c>
      <c r="T64" t="b">
        <v>0</v>
      </c>
    </row>
    <row r="65">
      <c r="A65" t="s">
        <v>168</v>
      </c>
      <c r="B65">
        <v>0</v>
      </c>
      <c r="D65">
        <v>353.63999999999999</v>
      </c>
      <c r="E65">
        <v>553.72000000000003</v>
      </c>
      <c r="F65" t="s">
        <v>169</v>
      </c>
      <c r="G65" t="s">
        <v>46</v>
      </c>
      <c r="T65" t="b">
        <v>0</v>
      </c>
    </row>
    <row r="66">
      <c r="A66" t="s">
        <v>170</v>
      </c>
      <c r="B66">
        <v>0</v>
      </c>
      <c r="D66">
        <v>8.0500000000000007</v>
      </c>
      <c r="E66">
        <v>45.280000000000001</v>
      </c>
      <c r="F66" t="s">
        <v>171</v>
      </c>
      <c r="G66" t="s">
        <v>98</v>
      </c>
      <c r="T66" t="b">
        <v>0</v>
      </c>
    </row>
    <row r="67">
      <c r="A67" t="s">
        <v>172</v>
      </c>
      <c r="B67">
        <v>1</v>
      </c>
      <c r="C67">
        <v>34</v>
      </c>
      <c r="D67">
        <v>183.25</v>
      </c>
      <c r="E67">
        <v>343.97000000000003</v>
      </c>
      <c r="F67" t="s">
        <v>173</v>
      </c>
      <c r="G67" t="s">
        <v>78</v>
      </c>
      <c r="H67">
        <v>177.4287791661398</v>
      </c>
      <c r="I67">
        <v>84.595636760079856</v>
      </c>
      <c r="J67">
        <v>192.1277994156535</v>
      </c>
      <c r="K67">
        <v>84.595636760079856</v>
      </c>
      <c r="L67">
        <v>48.505169832423512</v>
      </c>
      <c r="M67">
        <v>25.442422662573019</v>
      </c>
      <c r="N67">
        <v>36.785658540313896</v>
      </c>
      <c r="O67">
        <v>25.29375802485734</v>
      </c>
      <c r="P67">
        <v>1</v>
      </c>
      <c r="Q67">
        <v>2050</v>
      </c>
      <c r="R67">
        <v>2050</v>
      </c>
      <c r="S67">
        <v>244.00848204656</v>
      </c>
      <c r="T67" t="b">
        <v>0</v>
      </c>
      <c r="U67">
        <v>2</v>
      </c>
      <c r="V67">
        <v>0</v>
      </c>
      <c r="W67">
        <v>50</v>
      </c>
      <c r="X67">
        <v>10</v>
      </c>
      <c r="Y67">
        <v>0</v>
      </c>
      <c r="Z67">
        <v>0</v>
      </c>
      <c r="AA67">
        <v>0</v>
      </c>
      <c r="AB67">
        <v>0</v>
      </c>
      <c r="AC67">
        <v>0</v>
      </c>
    </row>
    <row r="68">
      <c r="A68" t="s">
        <v>174</v>
      </c>
      <c r="B68">
        <v>0</v>
      </c>
      <c r="D68">
        <v>154.52000000000001</v>
      </c>
      <c r="E68">
        <v>356.04000000000002</v>
      </c>
      <c r="F68" t="s">
        <v>175</v>
      </c>
      <c r="G68" t="s">
        <v>49</v>
      </c>
      <c r="T68" t="b">
        <v>0</v>
      </c>
    </row>
    <row r="69">
      <c r="A69" t="s">
        <v>176</v>
      </c>
      <c r="B69">
        <v>0</v>
      </c>
      <c r="D69">
        <v>75.609999999999999</v>
      </c>
      <c r="E69">
        <v>130.69999999999999</v>
      </c>
      <c r="F69" t="s">
        <v>177</v>
      </c>
      <c r="G69" t="s">
        <v>49</v>
      </c>
      <c r="T69" t="b">
        <v>0</v>
      </c>
    </row>
    <row r="70">
      <c r="A70" t="s">
        <v>178</v>
      </c>
      <c r="B70">
        <v>0</v>
      </c>
      <c r="D70">
        <v>351.04000000000002</v>
      </c>
      <c r="E70">
        <v>518.05999999999995</v>
      </c>
      <c r="F70" t="s">
        <v>179</v>
      </c>
      <c r="G70" t="s">
        <v>65</v>
      </c>
      <c r="T70" t="b">
        <v>0</v>
      </c>
    </row>
    <row r="71">
      <c r="A71" t="s">
        <v>180</v>
      </c>
      <c r="B71">
        <v>0</v>
      </c>
      <c r="D71">
        <v>160.72</v>
      </c>
      <c r="E71">
        <v>343.97000000000003</v>
      </c>
      <c r="F71" t="s">
        <v>181</v>
      </c>
      <c r="G71" t="s">
        <v>78</v>
      </c>
      <c r="T71" t="b">
        <v>0</v>
      </c>
    </row>
    <row r="72">
      <c r="A72" t="s">
        <v>182</v>
      </c>
      <c r="B72">
        <v>1</v>
      </c>
      <c r="C72">
        <v>26</v>
      </c>
      <c r="D72">
        <v>38.100000000000001</v>
      </c>
      <c r="E72">
        <v>179.47</v>
      </c>
      <c r="F72" t="s">
        <v>183</v>
      </c>
      <c r="G72" t="s">
        <v>40</v>
      </c>
      <c r="H72">
        <v>150</v>
      </c>
      <c r="I72">
        <v>109.7666773292532</v>
      </c>
      <c r="J72">
        <v>140.1805930352721</v>
      </c>
      <c r="K72">
        <v>109.7666773292532</v>
      </c>
      <c r="L72">
        <v>45</v>
      </c>
      <c r="M72">
        <v>38.838993730834503</v>
      </c>
      <c r="N72">
        <v>41.308749287852862</v>
      </c>
      <c r="O72">
        <v>39.44455658561948</v>
      </c>
      <c r="P72">
        <v>0</v>
      </c>
      <c r="R72">
        <v>2030</v>
      </c>
      <c r="S72">
        <v>408.55501459768789</v>
      </c>
      <c r="T72" t="b">
        <v>1</v>
      </c>
      <c r="U72">
        <v>0.42999999999999999</v>
      </c>
      <c r="V72">
        <v>116.7300041707679</v>
      </c>
      <c r="Y72">
        <v>49.549999999999997</v>
      </c>
      <c r="Z72">
        <v>23.59799999999996</v>
      </c>
      <c r="AA72">
        <v>17.574000000000009</v>
      </c>
      <c r="AB72">
        <v>54.119999999999997</v>
      </c>
      <c r="AC72">
        <v>19.147851788552039</v>
      </c>
    </row>
    <row r="73">
      <c r="A73" t="s">
        <v>184</v>
      </c>
      <c r="B73">
        <v>0</v>
      </c>
      <c r="D73">
        <v>268.79000000000002</v>
      </c>
      <c r="E73">
        <v>361.88</v>
      </c>
      <c r="F73" t="s">
        <v>185</v>
      </c>
      <c r="G73" t="s">
        <v>78</v>
      </c>
      <c r="T73" t="b">
        <v>0</v>
      </c>
    </row>
    <row r="74">
      <c r="A74" t="s">
        <v>186</v>
      </c>
      <c r="B74">
        <v>0</v>
      </c>
      <c r="D74">
        <v>248.75</v>
      </c>
      <c r="E74">
        <v>325.82999999999998</v>
      </c>
      <c r="F74" t="s">
        <v>187</v>
      </c>
      <c r="G74" t="s">
        <v>49</v>
      </c>
      <c r="T74" t="b">
        <v>0</v>
      </c>
    </row>
    <row r="75">
      <c r="A75" t="s">
        <v>188</v>
      </c>
      <c r="B75">
        <v>0</v>
      </c>
      <c r="D75">
        <v>173.15000000000001</v>
      </c>
      <c r="E75">
        <v>463.39999999999998</v>
      </c>
      <c r="F75" t="s">
        <v>189</v>
      </c>
      <c r="G75" t="s">
        <v>89</v>
      </c>
      <c r="T75" t="b">
        <v>0</v>
      </c>
    </row>
    <row r="76">
      <c r="A76" t="s">
        <v>190</v>
      </c>
      <c r="B76">
        <v>0</v>
      </c>
      <c r="D76">
        <v>141.37</v>
      </c>
      <c r="E76">
        <v>179.47</v>
      </c>
      <c r="F76" t="s">
        <v>191</v>
      </c>
      <c r="G76" t="s">
        <v>49</v>
      </c>
      <c r="T76" t="b">
        <v>0</v>
      </c>
    </row>
    <row r="77">
      <c r="A77" t="s">
        <v>192</v>
      </c>
      <c r="B77">
        <v>0</v>
      </c>
      <c r="D77">
        <v>290.25</v>
      </c>
      <c r="E77">
        <v>463.39999999999998</v>
      </c>
      <c r="F77" t="s">
        <v>193</v>
      </c>
      <c r="G77" t="s">
        <v>65</v>
      </c>
      <c r="T77" t="b">
        <v>0</v>
      </c>
    </row>
    <row r="78">
      <c r="A78" t="s">
        <v>194</v>
      </c>
      <c r="B78">
        <v>0</v>
      </c>
      <c r="D78">
        <v>160.66</v>
      </c>
      <c r="E78">
        <v>189.69</v>
      </c>
      <c r="F78" t="s">
        <v>195</v>
      </c>
      <c r="G78" t="s">
        <v>49</v>
      </c>
      <c r="T78" t="b">
        <v>0</v>
      </c>
    </row>
    <row r="79">
      <c r="A79" t="s">
        <v>196</v>
      </c>
      <c r="B79">
        <v>0</v>
      </c>
      <c r="D79">
        <v>80.109999999999999</v>
      </c>
      <c r="E79">
        <v>166.22999999999999</v>
      </c>
      <c r="F79" t="s">
        <v>197</v>
      </c>
      <c r="G79" t="s">
        <v>37</v>
      </c>
      <c r="T79" t="b">
        <v>0</v>
      </c>
    </row>
    <row r="80">
      <c r="A80" t="s">
        <v>198</v>
      </c>
      <c r="B80">
        <v>0</v>
      </c>
      <c r="D80">
        <v>37.229999999999997</v>
      </c>
      <c r="E80">
        <v>45.280000000000001</v>
      </c>
      <c r="F80" t="s">
        <v>199</v>
      </c>
      <c r="G80" t="s">
        <v>34</v>
      </c>
      <c r="T80" t="b">
        <v>0</v>
      </c>
    </row>
    <row r="81">
      <c r="A81" t="s">
        <v>200</v>
      </c>
      <c r="B81">
        <v>0</v>
      </c>
      <c r="D81">
        <v>134.62</v>
      </c>
      <c r="E81">
        <v>447.88999999999999</v>
      </c>
      <c r="F81" t="s">
        <v>201</v>
      </c>
      <c r="G81" t="s">
        <v>46</v>
      </c>
      <c r="T81" t="b">
        <v>0</v>
      </c>
    </row>
    <row r="82">
      <c r="A82" t="s">
        <v>202</v>
      </c>
      <c r="B82">
        <v>0</v>
      </c>
      <c r="D82">
        <v>332.5</v>
      </c>
      <c r="E82">
        <v>561.50999999999999</v>
      </c>
      <c r="F82" t="s">
        <v>203</v>
      </c>
      <c r="G82" t="s">
        <v>46</v>
      </c>
      <c r="T82" t="b">
        <v>0</v>
      </c>
    </row>
    <row r="83">
      <c r="A83" t="s">
        <v>204</v>
      </c>
      <c r="B83">
        <v>0</v>
      </c>
      <c r="D83">
        <v>305.38</v>
      </c>
      <c r="E83">
        <v>369.45999999999998</v>
      </c>
      <c r="F83" t="s">
        <v>205</v>
      </c>
      <c r="G83" t="s">
        <v>49</v>
      </c>
      <c r="T83" t="b">
        <v>0</v>
      </c>
    </row>
    <row r="84">
      <c r="A84" t="s">
        <v>206</v>
      </c>
      <c r="B84">
        <v>1</v>
      </c>
      <c r="C84">
        <v>42</v>
      </c>
      <c r="D84">
        <v>12.050000000000001</v>
      </c>
      <c r="E84">
        <v>110.44</v>
      </c>
      <c r="F84" t="s">
        <v>207</v>
      </c>
      <c r="G84" t="s">
        <v>31</v>
      </c>
      <c r="H84">
        <v>150</v>
      </c>
      <c r="I84">
        <v>111.45129452507091</v>
      </c>
      <c r="J84">
        <v>151.59614872061721</v>
      </c>
      <c r="K84">
        <v>111.45129452507091</v>
      </c>
      <c r="L84">
        <v>45</v>
      </c>
      <c r="M84">
        <v>39.170461492190597</v>
      </c>
      <c r="N84">
        <v>38.897363595852113</v>
      </c>
      <c r="O84">
        <v>38.937453318270897</v>
      </c>
      <c r="P84">
        <v>0</v>
      </c>
      <c r="R84">
        <v>2035</v>
      </c>
      <c r="S84">
        <v>216.29824905216</v>
      </c>
      <c r="T84" t="b">
        <v>0</v>
      </c>
      <c r="U84">
        <v>2</v>
      </c>
      <c r="V84">
        <v>0</v>
      </c>
      <c r="Y84">
        <v>0</v>
      </c>
      <c r="Z84">
        <v>131.50399999999951</v>
      </c>
      <c r="AA84">
        <v>131.33000000000021</v>
      </c>
      <c r="AB84">
        <v>128.46000000000001</v>
      </c>
      <c r="AC84">
        <v>127.06999999999999</v>
      </c>
    </row>
    <row r="85">
      <c r="A85" t="s">
        <v>208</v>
      </c>
      <c r="B85">
        <v>0</v>
      </c>
      <c r="D85">
        <v>42.530000000000001</v>
      </c>
      <c r="E85">
        <v>127.09999999999999</v>
      </c>
      <c r="F85" t="s">
        <v>209</v>
      </c>
      <c r="G85" t="s">
        <v>98</v>
      </c>
      <c r="T85" t="b">
        <v>0</v>
      </c>
    </row>
    <row r="86">
      <c r="A86" t="s">
        <v>210</v>
      </c>
      <c r="B86">
        <v>0</v>
      </c>
      <c r="D86">
        <v>4</v>
      </c>
      <c r="E86">
        <v>233.52000000000001</v>
      </c>
      <c r="F86" t="s">
        <v>211</v>
      </c>
      <c r="G86" t="s">
        <v>49</v>
      </c>
      <c r="T86" t="b">
        <v>0</v>
      </c>
    </row>
    <row r="87">
      <c r="A87" t="s">
        <v>212</v>
      </c>
      <c r="B87">
        <v>0</v>
      </c>
      <c r="D87">
        <v>25.02</v>
      </c>
      <c r="E87">
        <v>189.66</v>
      </c>
      <c r="F87" t="s">
        <v>213</v>
      </c>
      <c r="G87" t="s">
        <v>98</v>
      </c>
      <c r="T87" t="b">
        <v>0</v>
      </c>
    </row>
    <row r="88">
      <c r="A88" t="s">
        <v>214</v>
      </c>
      <c r="B88">
        <v>1</v>
      </c>
      <c r="C88">
        <v>22</v>
      </c>
      <c r="D88">
        <v>0</v>
      </c>
      <c r="E88">
        <v>78.120000000000005</v>
      </c>
      <c r="F88" t="s">
        <v>215</v>
      </c>
      <c r="G88" t="s">
        <v>89</v>
      </c>
      <c r="H88">
        <v>150</v>
      </c>
      <c r="I88">
        <v>150</v>
      </c>
      <c r="J88">
        <v>177.68890060296189</v>
      </c>
      <c r="K88">
        <v>150</v>
      </c>
      <c r="L88">
        <v>45</v>
      </c>
      <c r="M88">
        <v>45</v>
      </c>
      <c r="N88">
        <v>35.15443676471817</v>
      </c>
      <c r="O88">
        <v>35.168494742072127</v>
      </c>
      <c r="P88">
        <v>0</v>
      </c>
      <c r="R88">
        <v>2040</v>
      </c>
      <c r="S88">
        <v>70.011104638456629</v>
      </c>
      <c r="T88" t="b">
        <v>0</v>
      </c>
      <c r="U88">
        <v>2</v>
      </c>
      <c r="V88">
        <v>0</v>
      </c>
      <c r="Y88">
        <v>0</v>
      </c>
      <c r="Z88">
        <v>0</v>
      </c>
      <c r="AA88">
        <v>25.800000000000001</v>
      </c>
      <c r="AB88">
        <v>25.826499999999172</v>
      </c>
      <c r="AC88">
        <v>28.199999999999999</v>
      </c>
    </row>
    <row r="89">
      <c r="A89" t="s">
        <v>216</v>
      </c>
      <c r="B89">
        <v>0</v>
      </c>
      <c r="D89">
        <v>99.730000000000004</v>
      </c>
      <c r="E89">
        <v>151.34999999999999</v>
      </c>
      <c r="F89" t="s">
        <v>217</v>
      </c>
      <c r="G89" t="s">
        <v>65</v>
      </c>
      <c r="T89" t="b">
        <v>0</v>
      </c>
    </row>
    <row r="90">
      <c r="A90" t="s">
        <v>218</v>
      </c>
      <c r="B90">
        <v>0</v>
      </c>
      <c r="D90">
        <v>40.560000000000002</v>
      </c>
      <c r="E90">
        <v>336.49000000000001</v>
      </c>
      <c r="F90" t="s">
        <v>219</v>
      </c>
      <c r="G90" t="s">
        <v>52</v>
      </c>
      <c r="T90" t="b">
        <v>0</v>
      </c>
    </row>
    <row r="91">
      <c r="A91" t="s">
        <v>220</v>
      </c>
      <c r="B91">
        <v>0</v>
      </c>
      <c r="D91">
        <v>313.26999999999998</v>
      </c>
      <c r="E91">
        <v>447.88999999999999</v>
      </c>
      <c r="F91" t="s">
        <v>221</v>
      </c>
      <c r="G91" t="s">
        <v>46</v>
      </c>
      <c r="T91" t="b">
        <v>0</v>
      </c>
    </row>
    <row r="92">
      <c r="A92" t="s">
        <v>222</v>
      </c>
      <c r="B92">
        <v>0</v>
      </c>
      <c r="D92">
        <v>140.08000000000001</v>
      </c>
      <c r="E92">
        <v>491.30000000000001</v>
      </c>
      <c r="F92" t="s">
        <v>223</v>
      </c>
      <c r="G92" t="s">
        <v>43</v>
      </c>
      <c r="T92" t="b">
        <v>0</v>
      </c>
    </row>
    <row r="93">
      <c r="A93" t="s">
        <v>224</v>
      </c>
      <c r="B93">
        <v>0</v>
      </c>
      <c r="D93">
        <v>221.62</v>
      </c>
      <c r="E93">
        <v>370.19</v>
      </c>
      <c r="F93" t="s">
        <v>225</v>
      </c>
      <c r="G93" t="s">
        <v>46</v>
      </c>
      <c r="T93" t="b">
        <v>0</v>
      </c>
    </row>
    <row r="94">
      <c r="A94" t="s">
        <v>226</v>
      </c>
      <c r="B94">
        <v>0</v>
      </c>
      <c r="D94">
        <v>201.52000000000001</v>
      </c>
      <c r="E94">
        <v>356.04000000000002</v>
      </c>
      <c r="F94" t="s">
        <v>227</v>
      </c>
      <c r="G94" t="s">
        <v>40</v>
      </c>
      <c r="T94" t="b">
        <v>0</v>
      </c>
    </row>
    <row r="95">
      <c r="A95" t="s">
        <v>228</v>
      </c>
      <c r="B95">
        <v>1</v>
      </c>
      <c r="C95">
        <v>22</v>
      </c>
      <c r="D95">
        <v>9.0099999999999998</v>
      </c>
      <c r="E95">
        <v>141.72999999999999</v>
      </c>
      <c r="F95" t="s">
        <v>229</v>
      </c>
      <c r="G95" t="s">
        <v>40</v>
      </c>
      <c r="H95">
        <v>150</v>
      </c>
      <c r="I95">
        <v>127.65951811255169</v>
      </c>
      <c r="J95">
        <v>127.4287791661389</v>
      </c>
      <c r="K95">
        <v>127.4287791661388</v>
      </c>
      <c r="L95">
        <v>45</v>
      </c>
      <c r="M95">
        <v>38.548501824233703</v>
      </c>
      <c r="N95">
        <v>38.505169832423157</v>
      </c>
      <c r="O95">
        <v>38.81205954605867</v>
      </c>
      <c r="P95">
        <v>1</v>
      </c>
      <c r="Q95">
        <v>2050</v>
      </c>
      <c r="R95">
        <v>2030</v>
      </c>
      <c r="S95">
        <v>269.33298347646559</v>
      </c>
      <c r="T95" t="b">
        <v>1</v>
      </c>
      <c r="U95">
        <v>0.42999999999999999</v>
      </c>
      <c r="V95">
        <v>76.952280993275892</v>
      </c>
      <c r="W95">
        <v>50</v>
      </c>
      <c r="X95">
        <v>10</v>
      </c>
      <c r="Y95">
        <v>19.637999999999991</v>
      </c>
      <c r="Z95">
        <v>0</v>
      </c>
      <c r="AA95">
        <v>27.609999999999999</v>
      </c>
      <c r="AB95">
        <v>28.510000000000002</v>
      </c>
      <c r="AC95">
        <v>29.59</v>
      </c>
    </row>
    <row r="96">
      <c r="A96" t="s">
        <v>230</v>
      </c>
      <c r="B96">
        <v>0</v>
      </c>
      <c r="D96">
        <v>75.019999999999996</v>
      </c>
      <c r="E96">
        <v>222.05000000000001</v>
      </c>
      <c r="F96" t="s">
        <v>231</v>
      </c>
      <c r="G96" t="s">
        <v>49</v>
      </c>
      <c r="T96" t="b">
        <v>0</v>
      </c>
    </row>
    <row r="97">
      <c r="A97" t="s">
        <v>232</v>
      </c>
      <c r="B97">
        <v>0</v>
      </c>
      <c r="D97">
        <v>164.63999999999999</v>
      </c>
      <c r="E97">
        <v>189.66</v>
      </c>
      <c r="F97" t="s">
        <v>233</v>
      </c>
      <c r="G97" t="s">
        <v>34</v>
      </c>
      <c r="T97" t="b">
        <v>0</v>
      </c>
    </row>
    <row r="98">
      <c r="A98" t="s">
        <v>234</v>
      </c>
      <c r="B98">
        <v>0</v>
      </c>
      <c r="D98">
        <v>0</v>
      </c>
      <c r="E98">
        <v>24.609999999999999</v>
      </c>
      <c r="F98" t="s">
        <v>235</v>
      </c>
      <c r="G98" t="s">
        <v>43</v>
      </c>
    </row>
    <row r="99">
      <c r="A99" t="s">
        <v>236</v>
      </c>
      <c r="B99">
        <v>1</v>
      </c>
      <c r="C99">
        <v>38</v>
      </c>
      <c r="D99">
        <v>0</v>
      </c>
      <c r="E99">
        <v>25.420000000000002</v>
      </c>
      <c r="F99" t="s">
        <v>237</v>
      </c>
      <c r="G99" t="s">
        <v>43</v>
      </c>
      <c r="H99">
        <v>229.1929265244068</v>
      </c>
      <c r="J99">
        <v>226.87292652440681</v>
      </c>
      <c r="K99">
        <v>226.87292652440681</v>
      </c>
      <c r="L99">
        <v>40.276309174969981</v>
      </c>
      <c r="N99">
        <v>32</v>
      </c>
      <c r="P99">
        <v>0</v>
      </c>
      <c r="R99">
        <v>2040</v>
      </c>
      <c r="S99">
        <v>66.686421280000005</v>
      </c>
      <c r="V99">
        <v>0</v>
      </c>
      <c r="Y99">
        <v>0</v>
      </c>
      <c r="Z99">
        <v>0</v>
      </c>
      <c r="AA99">
        <v>92.245999999999867</v>
      </c>
      <c r="AB99">
        <v>107.3900000000048</v>
      </c>
      <c r="AC99">
        <v>110.84999999999999</v>
      </c>
    </row>
    <row r="100">
      <c r="A100" t="s">
        <v>238</v>
      </c>
      <c r="B100">
        <v>0</v>
      </c>
      <c r="D100">
        <v>0</v>
      </c>
      <c r="E100">
        <v>25.73</v>
      </c>
      <c r="F100" t="s">
        <v>239</v>
      </c>
      <c r="G100" t="s">
        <v>37</v>
      </c>
    </row>
    <row r="101">
      <c r="A101" t="s">
        <v>240</v>
      </c>
      <c r="B101">
        <v>0</v>
      </c>
      <c r="D101">
        <v>0</v>
      </c>
      <c r="E101">
        <v>135.33000000000001</v>
      </c>
      <c r="F101" t="s">
        <v>241</v>
      </c>
      <c r="G101" t="s">
        <v>31</v>
      </c>
    </row>
    <row r="102">
      <c r="A102" t="s">
        <v>242</v>
      </c>
      <c r="B102">
        <v>0</v>
      </c>
      <c r="D102">
        <v>0</v>
      </c>
      <c r="E102">
        <v>135.33000000000001</v>
      </c>
      <c r="F102" t="s">
        <v>243</v>
      </c>
      <c r="G102" t="s">
        <v>52</v>
      </c>
    </row>
    <row r="103">
      <c r="A103" t="s">
        <v>244</v>
      </c>
      <c r="B103">
        <v>1</v>
      </c>
      <c r="C103">
        <v>42</v>
      </c>
      <c r="D103">
        <v>0</v>
      </c>
      <c r="E103">
        <v>25.73</v>
      </c>
      <c r="F103" t="s">
        <v>245</v>
      </c>
      <c r="G103" t="s">
        <v>43</v>
      </c>
      <c r="H103">
        <v>151.59614872061721</v>
      </c>
      <c r="J103">
        <v>149.5061487206172</v>
      </c>
      <c r="K103">
        <v>149.5061487206172</v>
      </c>
      <c r="L103">
        <v>38.897363595852113</v>
      </c>
      <c r="N103">
        <v>32</v>
      </c>
      <c r="P103">
        <v>0</v>
      </c>
      <c r="R103">
        <v>2035</v>
      </c>
      <c r="S103">
        <v>98.422962059999989</v>
      </c>
      <c r="V103">
        <v>0</v>
      </c>
      <c r="Y103">
        <v>0</v>
      </c>
      <c r="Z103">
        <v>131.50399999999951</v>
      </c>
      <c r="AA103">
        <v>131.33000000000021</v>
      </c>
      <c r="AB103">
        <v>128.46000000000001</v>
      </c>
      <c r="AC103">
        <v>127.06999999999999</v>
      </c>
    </row>
    <row r="104">
      <c r="A104" t="s">
        <v>246</v>
      </c>
      <c r="B104">
        <v>0</v>
      </c>
      <c r="D104">
        <v>0</v>
      </c>
      <c r="E104">
        <v>161.78999999999999</v>
      </c>
      <c r="F104" t="s">
        <v>247</v>
      </c>
      <c r="G104" t="s">
        <v>46</v>
      </c>
    </row>
    <row r="105">
      <c r="A105" t="s">
        <v>248</v>
      </c>
      <c r="B105">
        <v>0</v>
      </c>
      <c r="D105">
        <v>0</v>
      </c>
      <c r="E105">
        <v>192.08000000000001</v>
      </c>
      <c r="F105" t="s">
        <v>249</v>
      </c>
      <c r="G105" t="s">
        <v>46</v>
      </c>
    </row>
    <row r="106">
      <c r="A106" t="s">
        <v>250</v>
      </c>
      <c r="B106">
        <v>0</v>
      </c>
      <c r="D106">
        <v>0</v>
      </c>
      <c r="E106">
        <v>24.609999999999999</v>
      </c>
      <c r="F106" t="s">
        <v>251</v>
      </c>
      <c r="G106" t="s">
        <v>37</v>
      </c>
    </row>
    <row r="107">
      <c r="A107" t="s">
        <v>252</v>
      </c>
      <c r="B107">
        <v>0</v>
      </c>
      <c r="D107">
        <v>0</v>
      </c>
      <c r="E107">
        <v>25.420000000000002</v>
      </c>
      <c r="F107" t="s">
        <v>253</v>
      </c>
      <c r="G107" t="s">
        <v>37</v>
      </c>
    </row>
    <row r="108">
      <c r="A108" t="s">
        <v>254</v>
      </c>
      <c r="B108">
        <v>0</v>
      </c>
      <c r="D108">
        <v>0</v>
      </c>
      <c r="E108">
        <v>192.08000000000001</v>
      </c>
      <c r="F108" t="s">
        <v>255</v>
      </c>
      <c r="G108" t="s">
        <v>46</v>
      </c>
    </row>
    <row r="109">
      <c r="A109" t="s">
        <v>256</v>
      </c>
      <c r="B109">
        <v>0</v>
      </c>
      <c r="D109">
        <v>0</v>
      </c>
      <c r="E109">
        <v>161.78999999999999</v>
      </c>
      <c r="F109" t="s">
        <v>257</v>
      </c>
      <c r="G109" t="s">
        <v>46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3658.496000000001</v>
      </c>
      <c r="F3">
        <v>3527.1660000000002</v>
      </c>
      <c r="G3">
        <v>3398.7060000000001</v>
      </c>
      <c r="H3">
        <v>3271.636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2007.7539999999999</v>
      </c>
      <c r="G4">
        <v>1900.363999999995</v>
      </c>
      <c r="H4">
        <v>1789.5139999999949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4571.3699999999999</v>
      </c>
      <c r="E6">
        <v>4571.3699999999999</v>
      </c>
      <c r="F6">
        <v>4571.3699999999999</v>
      </c>
      <c r="G6">
        <v>4571.3699999999999</v>
      </c>
      <c r="H6">
        <v>4571.3699999999999</v>
      </c>
    </row>
    <row r="7">
      <c r="A7">
        <v>21</v>
      </c>
      <c r="B7">
        <v>1372.72</v>
      </c>
      <c r="C7">
        <v>1372.72</v>
      </c>
      <c r="D7">
        <v>1323.1700000000001</v>
      </c>
      <c r="E7">
        <v>1299.5719999999999</v>
      </c>
      <c r="F7">
        <v>1281.998</v>
      </c>
      <c r="G7">
        <v>1191.0585000000051</v>
      </c>
      <c r="H7">
        <v>1116.8000000000061</v>
      </c>
    </row>
    <row r="8">
      <c r="A8">
        <v>22</v>
      </c>
      <c r="B8">
        <v>2171.48</v>
      </c>
      <c r="C8">
        <v>2171.48</v>
      </c>
      <c r="D8">
        <v>2151.8420000000001</v>
      </c>
      <c r="E8">
        <v>2151.8420000000001</v>
      </c>
      <c r="F8">
        <v>2124.232</v>
      </c>
      <c r="G8">
        <v>2095.7220000000002</v>
      </c>
      <c r="H8">
        <v>1993.091999999999</v>
      </c>
    </row>
    <row r="9">
      <c r="A9">
        <v>23</v>
      </c>
      <c r="B9">
        <v>4632.0500000000002</v>
      </c>
      <c r="C9">
        <v>4632.0500000000002</v>
      </c>
      <c r="D9">
        <v>4632.0500000000002</v>
      </c>
      <c r="E9">
        <v>4574.5899999999992</v>
      </c>
      <c r="F9">
        <v>4514.0699999999988</v>
      </c>
      <c r="G9">
        <v>4450.1499999999996</v>
      </c>
      <c r="H9">
        <v>4382.4799999999996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75</v>
      </c>
      <c r="C2">
        <v>0</v>
      </c>
      <c r="D2">
        <v>0</v>
      </c>
      <c r="E2">
        <v>0</v>
      </c>
      <c r="F2">
        <v>74.210000000000818</v>
      </c>
      <c r="G2">
        <v>75</v>
      </c>
    </row>
    <row r="3">
      <c r="A3">
        <v>5</v>
      </c>
      <c r="B3">
        <v>37.5</v>
      </c>
      <c r="C3">
        <v>0</v>
      </c>
      <c r="D3">
        <v>0</v>
      </c>
      <c r="E3">
        <v>25.800000000000001</v>
      </c>
      <c r="F3">
        <v>25.826499999999172</v>
      </c>
      <c r="G3">
        <v>28.199999999999999</v>
      </c>
    </row>
    <row r="4">
      <c r="A4">
        <v>6</v>
      </c>
      <c r="B4">
        <v>37.5</v>
      </c>
      <c r="C4">
        <v>0</v>
      </c>
      <c r="D4">
        <v>27.132000000000001</v>
      </c>
      <c r="E4">
        <v>34.685999999999993</v>
      </c>
      <c r="F4">
        <v>0</v>
      </c>
      <c r="G4">
        <v>37.172148211447961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5288.0388399999993</v>
      </c>
      <c r="C2">
        <v>13885.473419999969</v>
      </c>
      <c r="D2">
        <v>17114.625059999991</v>
      </c>
      <c r="E2">
        <v>17286.032239999811</v>
      </c>
      <c r="F2">
        <v>15714.521854374791</v>
      </c>
      <c r="G2">
        <v>69288.691414374567</v>
      </c>
    </row>
    <row r="3">
      <c r="A3" t="s">
        <v>276</v>
      </c>
      <c r="B3">
        <v>453.18139999999988</v>
      </c>
      <c r="C3">
        <v>1054.3075200000001</v>
      </c>
      <c r="D3">
        <v>1241.3856000000001</v>
      </c>
      <c r="E3">
        <v>1194.775575000011</v>
      </c>
      <c r="F3">
        <v>1042.15356</v>
      </c>
      <c r="G3">
        <v>4985.8036550000124</v>
      </c>
    </row>
    <row r="4">
      <c r="A4" t="s">
        <v>277</v>
      </c>
      <c r="B4">
        <v>677.88799807415353</v>
      </c>
      <c r="C4">
        <v>544.46418706665986</v>
      </c>
      <c r="D4">
        <v>479.56211442581662</v>
      </c>
      <c r="E4">
        <v>285.67015233657929</v>
      </c>
      <c r="F4">
        <v>445.36839736995199</v>
      </c>
      <c r="G4">
        <v>2432.952849273162</v>
      </c>
    </row>
    <row r="5">
      <c r="A5" t="s">
        <v>278</v>
      </c>
      <c r="B5">
        <v>193.68228516404389</v>
      </c>
      <c r="C5">
        <v>0</v>
      </c>
      <c r="D5">
        <v>0</v>
      </c>
      <c r="E5">
        <v>63.927724609279977</v>
      </c>
      <c r="F5">
        <v>57.531404378111972</v>
      </c>
      <c r="G5">
        <v>315.14141415143592</v>
      </c>
    </row>
    <row r="6">
      <c r="A6" t="s">
        <v>279</v>
      </c>
      <c r="B6">
        <v>0</v>
      </c>
      <c r="C6">
        <v>98.422962059999989</v>
      </c>
      <c r="D6">
        <v>66.686421280000005</v>
      </c>
      <c r="E6">
        <v>0</v>
      </c>
      <c r="F6">
        <v>0</v>
      </c>
      <c r="G6">
        <v>165.10938333999999</v>
      </c>
    </row>
    <row r="7">
      <c r="A7" t="s">
        <v>280</v>
      </c>
      <c r="B7">
        <v>4983.8968299999997</v>
      </c>
      <c r="C7">
        <v>9224.8657199999998</v>
      </c>
      <c r="D7">
        <v>4634.8145999999997</v>
      </c>
      <c r="E7">
        <v>3484.43406</v>
      </c>
      <c r="F7">
        <v>1398.8620800000001</v>
      </c>
      <c r="G7">
        <v>23726.87329</v>
      </c>
    </row>
    <row r="8">
      <c r="A8" t="s">
        <v>281</v>
      </c>
      <c r="B8">
        <v>0</v>
      </c>
      <c r="C8">
        <v>0</v>
      </c>
      <c r="D8">
        <v>247.33300208935859</v>
      </c>
      <c r="E8">
        <v>87.736151952622208</v>
      </c>
      <c r="F8">
        <v>249.93657259421161</v>
      </c>
      <c r="G8">
        <v>585.00572663619232</v>
      </c>
    </row>
    <row r="9">
      <c r="A9" t="s">
        <v>282</v>
      </c>
      <c r="B9">
        <v>88.125663385759992</v>
      </c>
      <c r="C9">
        <v>137.58000740672</v>
      </c>
      <c r="D9">
        <v>166.627696981236</v>
      </c>
      <c r="E9">
        <v>163.44100572714399</v>
      </c>
      <c r="F9">
        <v>181.78758600286</v>
      </c>
      <c r="G9">
        <v>737.56195950372</v>
      </c>
    </row>
    <row r="10">
      <c r="A10" t="s">
        <v>283</v>
      </c>
      <c r="B10">
        <v>25.178760967359992</v>
      </c>
      <c r="C10">
        <v>19.085565291519991</v>
      </c>
      <c r="D10">
        <v>14.466645068839989</v>
      </c>
      <c r="E10">
        <v>19.276041575299999</v>
      </c>
      <c r="F10">
        <v>22.09086163588</v>
      </c>
      <c r="G10">
        <v>100.0978745389</v>
      </c>
    </row>
    <row r="11">
      <c r="A11" t="s">
        <v>284</v>
      </c>
      <c r="B11">
        <v>0</v>
      </c>
      <c r="C11">
        <v>12.795014399999999</v>
      </c>
      <c r="D11">
        <v>18.367902999999998</v>
      </c>
      <c r="E11">
        <v>13.9228998</v>
      </c>
      <c r="F11">
        <v>10.55352375</v>
      </c>
      <c r="G11">
        <v>55.639340949999998</v>
      </c>
    </row>
    <row r="12">
      <c r="A12" t="s">
        <v>285</v>
      </c>
      <c r="B12">
        <v>134.62097</v>
      </c>
      <c r="C12">
        <v>351.27972</v>
      </c>
      <c r="D12">
        <v>391.26600000000002</v>
      </c>
      <c r="E12">
        <v>390.54730000000012</v>
      </c>
      <c r="F12">
        <v>333.82173</v>
      </c>
      <c r="G12">
        <v>1601.5357200000001</v>
      </c>
    </row>
    <row r="13">
      <c r="A13" t="s">
        <v>286</v>
      </c>
      <c r="B13">
        <v>0</v>
      </c>
      <c r="C13">
        <v>0</v>
      </c>
      <c r="D13">
        <v>6.3569643564137861</v>
      </c>
      <c r="E13">
        <v>7.0861206250575348</v>
      </c>
      <c r="F13">
        <v>11.77704769323298</v>
      </c>
      <c r="G13">
        <v>25.220132674704299</v>
      </c>
    </row>
    <row r="14">
      <c r="A14" t="s">
        <v>287</v>
      </c>
      <c r="B14">
        <v>785.56055199999992</v>
      </c>
      <c r="C14">
        <v>2063.0462579999962</v>
      </c>
      <c r="D14">
        <v>2542.8333839999991</v>
      </c>
      <c r="E14">
        <v>2567.720919999972</v>
      </c>
      <c r="F14">
        <v>2334.4442294965011</v>
      </c>
      <c r="G14">
        <v>10293.605343496471</v>
      </c>
    </row>
    <row r="15">
      <c r="A15" t="s">
        <v>288</v>
      </c>
      <c r="B15">
        <v>0</v>
      </c>
      <c r="C15">
        <v>0</v>
      </c>
      <c r="D15">
        <v>48.705887999999931</v>
      </c>
      <c r="E15">
        <v>57.683799999999962</v>
      </c>
      <c r="F15">
        <v>81.38296640806854</v>
      </c>
      <c r="G15">
        <v>187.77265440806841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45540.571320000003</v>
      </c>
      <c r="C17">
        <v>25401.47148</v>
      </c>
      <c r="D17">
        <v>13469.31552</v>
      </c>
      <c r="E17">
        <v>7572.9695999996966</v>
      </c>
      <c r="F17">
        <v>1223.320047458551</v>
      </c>
      <c r="G17">
        <v>93207.647967458252</v>
      </c>
    </row>
    <row r="18">
      <c r="A18" t="s">
        <v>291</v>
      </c>
      <c r="B18">
        <v>-0</v>
      </c>
      <c r="C18">
        <v>-2148.0404400000002</v>
      </c>
      <c r="D18">
        <v>-3629.7648599999989</v>
      </c>
      <c r="E18">
        <v>-4550.6603849999992</v>
      </c>
      <c r="F18">
        <v>-4840.0316703307253</v>
      </c>
      <c r="G18">
        <v>-15168.497355330721</v>
      </c>
    </row>
    <row r="19">
      <c r="A19" t="s">
        <v>292</v>
      </c>
      <c r="B19">
        <v>57951.883573459912</v>
      </c>
      <c r="C19">
        <v>50625.665848933342</v>
      </c>
      <c r="D19">
        <v>36798.115294132818</v>
      </c>
      <c r="E19">
        <v>28561.35944044089</v>
      </c>
      <c r="F19">
        <v>18187.89792481744</v>
      </c>
      <c r="G19">
        <v>192124.9220817844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2" max="2" width="9.140625"/>
    <col bestFit="1" min="4" max="4" width="14.28125"/>
    <col customWidth="1" min="5" max="5" width="9.57421875"/>
  </cols>
  <sheetData>
    <row r="1">
      <c r="A1" s="1" t="s">
        <v>0</v>
      </c>
      <c r="B1" s="1" t="s">
        <v>293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>
      <c r="A2" t="s">
        <v>29</v>
      </c>
      <c r="B2" s="2">
        <f>VLOOKUP(A2,PIPE!A:D,4,0)</f>
        <v>297.07999999999998</v>
      </c>
      <c r="C2">
        <v>1</v>
      </c>
      <c r="D2">
        <v>38</v>
      </c>
      <c r="E2">
        <v>186.05000000000001</v>
      </c>
      <c r="F2">
        <v>297.07999999999998</v>
      </c>
      <c r="G2" t="s">
        <v>30</v>
      </c>
      <c r="H2" t="s">
        <v>31</v>
      </c>
      <c r="I2">
        <v>150</v>
      </c>
      <c r="J2">
        <v>87.381501019738423</v>
      </c>
      <c r="K2">
        <v>229.1929265244068</v>
      </c>
      <c r="L2">
        <v>87.381501019738423</v>
      </c>
      <c r="M2">
        <v>45</v>
      </c>
      <c r="N2">
        <v>27.095937051814008</v>
      </c>
      <c r="O2">
        <v>40.276309174969981</v>
      </c>
      <c r="P2">
        <v>27.123707637369669</v>
      </c>
      <c r="Q2">
        <v>1</v>
      </c>
      <c r="R2">
        <v>2040</v>
      </c>
      <c r="S2">
        <v>2040</v>
      </c>
      <c r="T2">
        <v>409.55100978735999</v>
      </c>
      <c r="U2" t="b">
        <v>0</v>
      </c>
      <c r="V2">
        <v>2</v>
      </c>
      <c r="W2">
        <v>0</v>
      </c>
      <c r="X2">
        <v>50</v>
      </c>
      <c r="Y2">
        <v>10</v>
      </c>
      <c r="Z2">
        <v>0</v>
      </c>
      <c r="AA2">
        <v>0</v>
      </c>
      <c r="AB2">
        <v>104.64</v>
      </c>
      <c r="AC2">
        <v>107.39</v>
      </c>
      <c r="AD2">
        <v>110.84999999999999</v>
      </c>
    </row>
    <row r="3" hidden="1">
      <c r="A3" t="s">
        <v>32</v>
      </c>
      <c r="B3" s="2">
        <f>VLOOKUP(A3,PIPE!A:D,4,0)</f>
        <v>127.09999999999999</v>
      </c>
      <c r="C3">
        <v>0</v>
      </c>
      <c r="E3">
        <v>84.569999999999993</v>
      </c>
      <c r="F3">
        <v>127.09999999999999</v>
      </c>
      <c r="G3" t="s">
        <v>33</v>
      </c>
      <c r="H3" t="s">
        <v>34</v>
      </c>
      <c r="U3" t="b">
        <v>0</v>
      </c>
    </row>
    <row r="4" hidden="1">
      <c r="A4" t="s">
        <v>35</v>
      </c>
      <c r="B4" s="2">
        <f>VLOOKUP(A4,PIPE!A:D,4,0)</f>
        <v>491.30000000000001</v>
      </c>
      <c r="C4">
        <v>0</v>
      </c>
      <c r="E4">
        <v>350.20999999999998</v>
      </c>
      <c r="F4">
        <v>491.30000000000001</v>
      </c>
      <c r="G4" t="s">
        <v>36</v>
      </c>
      <c r="H4" t="s">
        <v>37</v>
      </c>
      <c r="U4" t="b">
        <v>0</v>
      </c>
    </row>
    <row r="5" hidden="1">
      <c r="A5" t="s">
        <v>38</v>
      </c>
      <c r="B5" s="2">
        <f>VLOOKUP(A5,PIPE!A:D,4,0)</f>
        <v>484.77999999999997</v>
      </c>
      <c r="C5">
        <v>0</v>
      </c>
      <c r="E5">
        <v>482.27999999999997</v>
      </c>
      <c r="F5">
        <v>484.77999999999997</v>
      </c>
      <c r="G5" t="s">
        <v>39</v>
      </c>
      <c r="H5" t="s">
        <v>40</v>
      </c>
      <c r="U5" t="b">
        <v>0</v>
      </c>
    </row>
    <row r="6" hidden="1">
      <c r="A6" t="s">
        <v>41</v>
      </c>
      <c r="B6" s="2">
        <f>VLOOKUP(A6,PIPE!A:D,4,0)</f>
        <v>166.22999999999999</v>
      </c>
      <c r="C6">
        <v>0</v>
      </c>
      <c r="E6">
        <v>85.120000000000005</v>
      </c>
      <c r="F6">
        <v>166.22999999999999</v>
      </c>
      <c r="G6" t="s">
        <v>42</v>
      </c>
      <c r="H6" t="s">
        <v>43</v>
      </c>
      <c r="U6" t="b">
        <v>0</v>
      </c>
    </row>
    <row r="7" hidden="1">
      <c r="A7" t="s">
        <v>44</v>
      </c>
      <c r="B7" s="2">
        <f>VLOOKUP(A7,PIPE!A:D,4,0)</f>
        <v>263.82999999999998</v>
      </c>
      <c r="C7">
        <v>0</v>
      </c>
      <c r="E7">
        <v>222.78</v>
      </c>
      <c r="F7">
        <v>263.82999999999998</v>
      </c>
      <c r="G7" t="s">
        <v>45</v>
      </c>
      <c r="H7" t="s">
        <v>46</v>
      </c>
      <c r="U7" t="b">
        <v>0</v>
      </c>
    </row>
    <row r="8" hidden="1">
      <c r="A8" t="s">
        <v>47</v>
      </c>
      <c r="B8" s="2">
        <f>VLOOKUP(A8,PIPE!A:D,4,0)</f>
        <v>484.77999999999997</v>
      </c>
      <c r="C8">
        <v>0</v>
      </c>
      <c r="E8">
        <v>2.5</v>
      </c>
      <c r="F8">
        <v>484.77999999999997</v>
      </c>
      <c r="G8" t="s">
        <v>48</v>
      </c>
      <c r="H8" t="s">
        <v>49</v>
      </c>
      <c r="U8" t="b">
        <v>0</v>
      </c>
    </row>
    <row r="9" hidden="1">
      <c r="A9" t="s">
        <v>50</v>
      </c>
      <c r="B9" s="2">
        <f>VLOOKUP(A9,PIPE!A:D,4,0)</f>
        <v>297.07999999999998</v>
      </c>
      <c r="C9">
        <v>0</v>
      </c>
      <c r="E9">
        <v>109.53</v>
      </c>
      <c r="F9">
        <v>297.07999999999998</v>
      </c>
      <c r="G9" t="s">
        <v>51</v>
      </c>
      <c r="H9" t="s">
        <v>52</v>
      </c>
      <c r="U9" t="b">
        <v>0</v>
      </c>
    </row>
    <row r="10" hidden="1">
      <c r="A10" t="s">
        <v>53</v>
      </c>
      <c r="B10" s="2">
        <f>VLOOKUP(A10,PIPE!A:D,4,0)</f>
        <v>496.16000000000003</v>
      </c>
      <c r="C10">
        <v>0</v>
      </c>
      <c r="E10">
        <v>207.56999999999999</v>
      </c>
      <c r="F10">
        <v>496.16000000000003</v>
      </c>
      <c r="G10" t="s">
        <v>54</v>
      </c>
      <c r="H10" t="s">
        <v>46</v>
      </c>
      <c r="U10" t="b">
        <v>0</v>
      </c>
    </row>
    <row r="11" hidden="1">
      <c r="A11" t="s">
        <v>55</v>
      </c>
      <c r="B11" s="2">
        <f>VLOOKUP(A11,PIPE!A:D,4,0)</f>
        <v>141.72999999999999</v>
      </c>
      <c r="C11">
        <v>0</v>
      </c>
      <c r="E11">
        <v>132.71000000000001</v>
      </c>
      <c r="F11">
        <v>141.72999999999999</v>
      </c>
      <c r="G11" t="s">
        <v>56</v>
      </c>
      <c r="H11" t="s">
        <v>49</v>
      </c>
      <c r="U11" t="b">
        <v>0</v>
      </c>
    </row>
    <row r="12" hidden="1">
      <c r="A12" t="s">
        <v>57</v>
      </c>
      <c r="B12" s="2">
        <f>VLOOKUP(A12,PIPE!A:D,4,0)</f>
        <v>369.45999999999998</v>
      </c>
      <c r="C12">
        <v>0</v>
      </c>
      <c r="E12">
        <v>64.079999999999998</v>
      </c>
      <c r="F12">
        <v>369.45999999999998</v>
      </c>
      <c r="G12" t="s">
        <v>58</v>
      </c>
      <c r="H12" t="s">
        <v>40</v>
      </c>
      <c r="U12" t="b">
        <v>0</v>
      </c>
    </row>
    <row r="13" hidden="1">
      <c r="A13" t="s">
        <v>59</v>
      </c>
      <c r="B13" s="2">
        <f>VLOOKUP(A13,PIPE!A:D,4,0)</f>
        <v>110.44</v>
      </c>
      <c r="C13">
        <v>0</v>
      </c>
      <c r="E13">
        <v>85.340000000000003</v>
      </c>
      <c r="F13">
        <v>110.44</v>
      </c>
      <c r="G13" t="s">
        <v>60</v>
      </c>
      <c r="H13" t="s">
        <v>52</v>
      </c>
      <c r="U13" t="b">
        <v>0</v>
      </c>
    </row>
    <row r="14" hidden="1">
      <c r="A14" t="s">
        <v>61</v>
      </c>
      <c r="B14" s="2">
        <f>VLOOKUP(A14,PIPE!A:D,4,0)</f>
        <v>553.72000000000003</v>
      </c>
      <c r="C14">
        <v>0</v>
      </c>
      <c r="E14">
        <v>200.08000000000001</v>
      </c>
      <c r="F14">
        <v>553.72000000000003</v>
      </c>
      <c r="G14" t="s">
        <v>62</v>
      </c>
      <c r="H14" t="s">
        <v>46</v>
      </c>
      <c r="U14" t="b">
        <v>0</v>
      </c>
    </row>
    <row r="15" hidden="1">
      <c r="A15" t="s">
        <v>63</v>
      </c>
      <c r="B15" s="2">
        <f>VLOOKUP(A15,PIPE!A:D,4,0)</f>
        <v>448.82999999999998</v>
      </c>
      <c r="C15">
        <v>0</v>
      </c>
      <c r="E15">
        <v>120.09</v>
      </c>
      <c r="F15">
        <v>448.82999999999998</v>
      </c>
      <c r="G15" t="s">
        <v>64</v>
      </c>
      <c r="H15" t="s">
        <v>65</v>
      </c>
      <c r="U15" t="b">
        <v>0</v>
      </c>
    </row>
    <row r="16" hidden="1">
      <c r="A16" t="s">
        <v>66</v>
      </c>
      <c r="B16" s="2">
        <f>VLOOKUP(A16,PIPE!A:D,4,0)</f>
        <v>302.06</v>
      </c>
      <c r="C16">
        <v>0</v>
      </c>
      <c r="E16">
        <v>165.53</v>
      </c>
      <c r="F16">
        <v>302.06</v>
      </c>
      <c r="G16" t="s">
        <v>67</v>
      </c>
      <c r="H16" t="s">
        <v>31</v>
      </c>
      <c r="U16" t="b">
        <v>0</v>
      </c>
    </row>
    <row r="17" hidden="1">
      <c r="A17" t="s">
        <v>68</v>
      </c>
      <c r="B17" s="2">
        <f>VLOOKUP(A17,PIPE!A:D,4,0)</f>
        <v>371.42000000000002</v>
      </c>
      <c r="C17">
        <v>0</v>
      </c>
      <c r="E17">
        <v>339.38999999999999</v>
      </c>
      <c r="F17">
        <v>371.42000000000002</v>
      </c>
      <c r="G17" t="s">
        <v>69</v>
      </c>
      <c r="H17" t="s">
        <v>65</v>
      </c>
      <c r="U17" t="b">
        <v>0</v>
      </c>
    </row>
    <row r="18" hidden="1">
      <c r="A18" t="s">
        <v>70</v>
      </c>
      <c r="B18" s="2">
        <f>VLOOKUP(A18,PIPE!A:D,4,0)</f>
        <v>561.50999999999999</v>
      </c>
      <c r="C18">
        <v>0</v>
      </c>
      <c r="E18">
        <v>229</v>
      </c>
      <c r="F18">
        <v>561.50999999999999</v>
      </c>
      <c r="G18" t="s">
        <v>71</v>
      </c>
      <c r="H18" t="s">
        <v>46</v>
      </c>
      <c r="U18" t="b">
        <v>0</v>
      </c>
    </row>
    <row r="19" hidden="1">
      <c r="A19" t="s">
        <v>72</v>
      </c>
      <c r="B19" s="2">
        <f>VLOOKUP(A19,PIPE!A:D,4,0)</f>
        <v>263.82999999999998</v>
      </c>
      <c r="C19">
        <v>0</v>
      </c>
      <c r="E19">
        <v>41.049999999999997</v>
      </c>
      <c r="F19">
        <v>263.82999999999998</v>
      </c>
      <c r="G19" t="s">
        <v>73</v>
      </c>
      <c r="H19" t="s">
        <v>46</v>
      </c>
      <c r="U19" t="b">
        <v>0</v>
      </c>
    </row>
    <row r="20" hidden="1">
      <c r="A20" t="s">
        <v>74</v>
      </c>
      <c r="B20" s="2">
        <f>VLOOKUP(A20,PIPE!A:D,4,0)</f>
        <v>68.849999999999994</v>
      </c>
      <c r="C20">
        <v>0</v>
      </c>
      <c r="E20">
        <v>11.06</v>
      </c>
      <c r="F20">
        <v>68.849999999999994</v>
      </c>
      <c r="G20" t="s">
        <v>75</v>
      </c>
      <c r="H20" t="s">
        <v>65</v>
      </c>
      <c r="U20" t="b">
        <v>0</v>
      </c>
    </row>
    <row r="21" hidden="1">
      <c r="A21" t="s">
        <v>76</v>
      </c>
      <c r="B21" s="2">
        <f>VLOOKUP(A21,PIPE!A:D,4,0)</f>
        <v>326.42000000000002</v>
      </c>
      <c r="C21">
        <v>0</v>
      </c>
      <c r="E21">
        <v>116.65000000000001</v>
      </c>
      <c r="F21">
        <v>326.42000000000002</v>
      </c>
      <c r="G21" t="s">
        <v>77</v>
      </c>
      <c r="H21" t="s">
        <v>78</v>
      </c>
      <c r="U21" t="b">
        <v>0</v>
      </c>
    </row>
    <row r="22" hidden="1">
      <c r="A22" t="s">
        <v>79</v>
      </c>
      <c r="B22" s="2">
        <f>VLOOKUP(A22,PIPE!A:D,4,0)</f>
        <v>496.16000000000003</v>
      </c>
      <c r="C22">
        <v>0</v>
      </c>
      <c r="E22">
        <v>288.58999999999997</v>
      </c>
      <c r="F22">
        <v>496.16000000000003</v>
      </c>
      <c r="G22" t="s">
        <v>80</v>
      </c>
      <c r="H22" t="s">
        <v>46</v>
      </c>
      <c r="U22" t="b">
        <v>0</v>
      </c>
    </row>
    <row r="23" hidden="1">
      <c r="A23" t="s">
        <v>81</v>
      </c>
      <c r="B23" s="2">
        <f>VLOOKUP(A23,PIPE!A:D,4,0)</f>
        <v>555.74000000000001</v>
      </c>
      <c r="C23">
        <v>0</v>
      </c>
      <c r="E23">
        <v>524.22000000000003</v>
      </c>
      <c r="F23">
        <v>555.74000000000001</v>
      </c>
      <c r="G23" t="s">
        <v>82</v>
      </c>
      <c r="H23" t="s">
        <v>52</v>
      </c>
      <c r="U23" t="b">
        <v>0</v>
      </c>
    </row>
    <row r="24" hidden="1">
      <c r="A24" t="s">
        <v>83</v>
      </c>
      <c r="B24" s="2">
        <f>VLOOKUP(A24,PIPE!A:D,4,0)</f>
        <v>243.08000000000001</v>
      </c>
      <c r="C24">
        <v>0</v>
      </c>
      <c r="E24">
        <v>199.06</v>
      </c>
      <c r="F24">
        <v>243.08000000000001</v>
      </c>
      <c r="G24" t="s">
        <v>84</v>
      </c>
      <c r="H24" t="s">
        <v>49</v>
      </c>
      <c r="U24" t="b">
        <v>0</v>
      </c>
    </row>
    <row r="25" hidden="1">
      <c r="A25" t="s">
        <v>85</v>
      </c>
      <c r="B25" s="2">
        <f>VLOOKUP(A25,PIPE!A:D,4,0)</f>
        <v>130.69999999999999</v>
      </c>
      <c r="C25">
        <v>0</v>
      </c>
      <c r="E25">
        <v>55.079999999999998</v>
      </c>
      <c r="F25">
        <v>130.69999999999999</v>
      </c>
      <c r="G25" t="s">
        <v>86</v>
      </c>
      <c r="H25" t="s">
        <v>40</v>
      </c>
      <c r="U25" t="b">
        <v>0</v>
      </c>
    </row>
    <row r="26" hidden="1">
      <c r="A26" t="s">
        <v>87</v>
      </c>
      <c r="B26" s="2">
        <f>VLOOKUP(A26,PIPE!A:D,4,0)</f>
        <v>371.42000000000002</v>
      </c>
      <c r="C26">
        <v>0</v>
      </c>
      <c r="E26">
        <v>32.039999999999999</v>
      </c>
      <c r="F26">
        <v>371.42000000000002</v>
      </c>
      <c r="G26" t="s">
        <v>88</v>
      </c>
      <c r="H26" t="s">
        <v>89</v>
      </c>
      <c r="U26" t="b">
        <v>0</v>
      </c>
    </row>
    <row r="27" hidden="1">
      <c r="A27" t="s">
        <v>90</v>
      </c>
      <c r="B27" s="2">
        <f>VLOOKUP(A27,PIPE!A:D,4,0)</f>
        <v>147.41</v>
      </c>
      <c r="C27">
        <v>0</v>
      </c>
      <c r="E27">
        <v>85.739999999999995</v>
      </c>
      <c r="F27">
        <v>147.41</v>
      </c>
      <c r="G27" t="s">
        <v>91</v>
      </c>
      <c r="H27" t="s">
        <v>40</v>
      </c>
      <c r="U27" t="b">
        <v>0</v>
      </c>
    </row>
    <row r="28" hidden="1">
      <c r="A28" t="s">
        <v>92</v>
      </c>
      <c r="B28" s="2">
        <f>VLOOKUP(A28,PIPE!A:D,4,0)</f>
        <v>189.69</v>
      </c>
      <c r="C28">
        <v>0</v>
      </c>
      <c r="E28">
        <v>29.030000000000001</v>
      </c>
      <c r="F28">
        <v>189.69</v>
      </c>
      <c r="G28" t="s">
        <v>93</v>
      </c>
      <c r="H28" t="s">
        <v>40</v>
      </c>
      <c r="U28" t="b">
        <v>0</v>
      </c>
    </row>
    <row r="29" hidden="1">
      <c r="A29" t="s">
        <v>94</v>
      </c>
      <c r="B29" s="2">
        <f>VLOOKUP(A29,PIPE!A:D,4,0)</f>
        <v>245.06</v>
      </c>
      <c r="C29">
        <v>0</v>
      </c>
      <c r="E29">
        <v>23.010000000000002</v>
      </c>
      <c r="F29">
        <v>245.06</v>
      </c>
      <c r="G29" t="s">
        <v>95</v>
      </c>
      <c r="H29" t="s">
        <v>49</v>
      </c>
      <c r="U29" t="b">
        <v>0</v>
      </c>
    </row>
    <row r="30" hidden="1">
      <c r="A30" t="s">
        <v>96</v>
      </c>
      <c r="B30" s="2">
        <f>VLOOKUP(A30,PIPE!A:D,4,0)</f>
        <v>345.18000000000001</v>
      </c>
      <c r="C30">
        <v>0</v>
      </c>
      <c r="E30">
        <v>41.520000000000003</v>
      </c>
      <c r="F30">
        <v>345.18000000000001</v>
      </c>
      <c r="G30" t="s">
        <v>97</v>
      </c>
      <c r="H30" t="s">
        <v>98</v>
      </c>
      <c r="U30" t="b">
        <v>0</v>
      </c>
    </row>
    <row r="31" hidden="1">
      <c r="A31" t="s">
        <v>99</v>
      </c>
      <c r="B31" s="2">
        <f>VLOOKUP(A31,PIPE!A:D,4,0)</f>
        <v>370.19</v>
      </c>
      <c r="C31">
        <v>0</v>
      </c>
      <c r="E31">
        <v>148.58000000000001</v>
      </c>
      <c r="F31">
        <v>370.19</v>
      </c>
      <c r="G31" t="s">
        <v>100</v>
      </c>
      <c r="H31" t="s">
        <v>46</v>
      </c>
      <c r="U31" t="b">
        <v>0</v>
      </c>
    </row>
    <row r="32" hidden="1">
      <c r="A32" t="s">
        <v>101</v>
      </c>
      <c r="B32" s="2">
        <f>VLOOKUP(A32,PIPE!A:D,4,0)</f>
        <v>233.52000000000001</v>
      </c>
      <c r="C32">
        <v>0</v>
      </c>
      <c r="E32">
        <v>229.52000000000001</v>
      </c>
      <c r="F32">
        <v>233.52000000000001</v>
      </c>
      <c r="G32" t="s">
        <v>102</v>
      </c>
      <c r="H32" t="s">
        <v>40</v>
      </c>
      <c r="U32" t="b">
        <v>0</v>
      </c>
    </row>
    <row r="33" hidden="1">
      <c r="A33" t="s">
        <v>103</v>
      </c>
      <c r="B33" s="2">
        <f>VLOOKUP(A33,PIPE!A:D,4,0)</f>
        <v>100.59999999999999</v>
      </c>
      <c r="C33">
        <v>0</v>
      </c>
      <c r="E33">
        <v>100.59999999999999</v>
      </c>
      <c r="F33">
        <v>100.59999999999999</v>
      </c>
      <c r="G33" t="s">
        <v>104</v>
      </c>
      <c r="H33" t="s">
        <v>49</v>
      </c>
      <c r="U33" t="b">
        <v>0</v>
      </c>
    </row>
    <row r="34" hidden="1">
      <c r="A34" t="s">
        <v>105</v>
      </c>
      <c r="B34" s="2">
        <f>VLOOKUP(A34,PIPE!A:D,4,0)</f>
        <v>78.120000000000005</v>
      </c>
      <c r="C34">
        <v>0</v>
      </c>
      <c r="E34">
        <v>78.120000000000005</v>
      </c>
      <c r="F34">
        <v>78.120000000000005</v>
      </c>
      <c r="G34" t="s">
        <v>106</v>
      </c>
      <c r="H34" t="s">
        <v>65</v>
      </c>
      <c r="U34" t="b">
        <v>0</v>
      </c>
    </row>
    <row r="35" hidden="1">
      <c r="A35" t="s">
        <v>107</v>
      </c>
      <c r="B35" s="2">
        <f>VLOOKUP(A35,PIPE!A:D,4,0)</f>
        <v>263.91000000000003</v>
      </c>
      <c r="C35">
        <v>0</v>
      </c>
      <c r="E35">
        <v>134.71000000000001</v>
      </c>
      <c r="F35">
        <v>263.91000000000003</v>
      </c>
      <c r="G35" t="s">
        <v>108</v>
      </c>
      <c r="H35" t="s">
        <v>78</v>
      </c>
      <c r="U35" t="b">
        <v>0</v>
      </c>
    </row>
    <row r="36" hidden="1">
      <c r="A36" t="s">
        <v>109</v>
      </c>
      <c r="B36" s="2">
        <f>VLOOKUP(A36,PIPE!A:D,4,0)</f>
        <v>361.88</v>
      </c>
      <c r="C36">
        <v>0</v>
      </c>
      <c r="E36">
        <v>93.099999999999994</v>
      </c>
      <c r="F36">
        <v>361.88</v>
      </c>
      <c r="G36" t="s">
        <v>110</v>
      </c>
      <c r="H36" t="s">
        <v>78</v>
      </c>
      <c r="U36" t="b">
        <v>0</v>
      </c>
    </row>
    <row r="37" hidden="1">
      <c r="A37" t="s">
        <v>111</v>
      </c>
      <c r="B37" s="2">
        <f>VLOOKUP(A37,PIPE!A:D,4,0)</f>
        <v>100.59999999999999</v>
      </c>
      <c r="C37">
        <v>0</v>
      </c>
      <c r="E37">
        <v>0</v>
      </c>
      <c r="F37">
        <v>100.59999999999999</v>
      </c>
      <c r="G37" t="s">
        <v>112</v>
      </c>
      <c r="H37" t="s">
        <v>40</v>
      </c>
      <c r="U37" t="b">
        <v>0</v>
      </c>
    </row>
    <row r="38">
      <c r="A38" t="s">
        <v>113</v>
      </c>
      <c r="B38" s="2">
        <f>VLOOKUP(A38,PIPE!A:D,4,0)</f>
        <v>80.230000000000004</v>
      </c>
      <c r="C38">
        <v>1</v>
      </c>
      <c r="D38">
        <v>30</v>
      </c>
      <c r="E38">
        <v>65.689999999999998</v>
      </c>
      <c r="F38">
        <v>80.230000000000004</v>
      </c>
      <c r="G38" t="s">
        <v>114</v>
      </c>
      <c r="H38" t="s">
        <v>40</v>
      </c>
      <c r="I38">
        <v>150</v>
      </c>
      <c r="J38">
        <v>113.3821431187982</v>
      </c>
      <c r="K38">
        <v>142.06171310093649</v>
      </c>
      <c r="L38">
        <v>113.3821431187982</v>
      </c>
      <c r="M38">
        <v>45</v>
      </c>
      <c r="N38">
        <v>35.774081207484478</v>
      </c>
      <c r="O38">
        <v>37.353684875527698</v>
      </c>
      <c r="P38">
        <v>35.145913034755282</v>
      </c>
      <c r="Q38">
        <v>0</v>
      </c>
      <c r="S38">
        <v>2035</v>
      </c>
      <c r="T38">
        <v>115.19613143949999</v>
      </c>
      <c r="U38" t="b">
        <v>0</v>
      </c>
      <c r="V38">
        <v>2</v>
      </c>
      <c r="W38">
        <v>0</v>
      </c>
      <c r="Z38">
        <v>0</v>
      </c>
      <c r="AA38">
        <v>0</v>
      </c>
      <c r="AB38">
        <v>0</v>
      </c>
      <c r="AC38">
        <v>63.920000000000073</v>
      </c>
      <c r="AD38">
        <v>67.670000000000002</v>
      </c>
    </row>
    <row r="39" hidden="1">
      <c r="A39" t="s">
        <v>115</v>
      </c>
      <c r="B39" s="2">
        <f>VLOOKUP(A39,PIPE!A:D,4,0)</f>
        <v>518.05999999999995</v>
      </c>
      <c r="C39">
        <v>0</v>
      </c>
      <c r="E39">
        <v>167.02000000000001</v>
      </c>
      <c r="F39">
        <v>518.05999999999995</v>
      </c>
      <c r="G39" t="s">
        <v>116</v>
      </c>
      <c r="H39" t="s">
        <v>89</v>
      </c>
      <c r="U39" t="b">
        <v>0</v>
      </c>
    </row>
    <row r="40">
      <c r="A40" t="s">
        <v>117</v>
      </c>
      <c r="B40" s="2">
        <f>VLOOKUP(A40,PIPE!A:D,4,0)</f>
        <v>222.05000000000001</v>
      </c>
      <c r="C40">
        <v>1</v>
      </c>
      <c r="D40">
        <v>26</v>
      </c>
      <c r="E40">
        <v>147.03</v>
      </c>
      <c r="F40">
        <v>222.05000000000001</v>
      </c>
      <c r="G40" t="s">
        <v>118</v>
      </c>
      <c r="H40" t="s">
        <v>40</v>
      </c>
      <c r="I40">
        <v>150</v>
      </c>
      <c r="J40">
        <v>78.240189616949976</v>
      </c>
      <c r="K40">
        <v>141.68952242732871</v>
      </c>
      <c r="L40">
        <v>78.240189616949976</v>
      </c>
      <c r="M40">
        <v>45</v>
      </c>
      <c r="N40">
        <v>32.339456206995933</v>
      </c>
      <c r="O40">
        <v>43.137130582981413</v>
      </c>
      <c r="P40">
        <v>31.640110306051049</v>
      </c>
      <c r="Q40">
        <v>1</v>
      </c>
      <c r="R40">
        <v>2045</v>
      </c>
      <c r="S40">
        <v>2045</v>
      </c>
      <c r="T40">
        <v>223.74703613247931</v>
      </c>
      <c r="U40" t="b">
        <v>1</v>
      </c>
      <c r="V40">
        <v>0.42999999999999999</v>
      </c>
      <c r="W40">
        <v>63.927724609279792</v>
      </c>
      <c r="X40">
        <v>50</v>
      </c>
      <c r="Y40">
        <v>10</v>
      </c>
      <c r="Z40">
        <v>0</v>
      </c>
      <c r="AA40">
        <v>0</v>
      </c>
      <c r="AB40">
        <v>0</v>
      </c>
      <c r="AC40">
        <v>40.155020679718852</v>
      </c>
      <c r="AD40">
        <v>55.110648211446239</v>
      </c>
    </row>
    <row r="41" hidden="1">
      <c r="A41" t="s">
        <v>119</v>
      </c>
      <c r="B41" s="2">
        <f>VLOOKUP(A41,PIPE!A:D,4,0)</f>
        <v>555.74000000000001</v>
      </c>
      <c r="C41">
        <v>0</v>
      </c>
      <c r="E41">
        <v>30.510000000000002</v>
      </c>
      <c r="F41">
        <v>555.74000000000001</v>
      </c>
      <c r="G41" t="s">
        <v>120</v>
      </c>
      <c r="H41" t="s">
        <v>31</v>
      </c>
      <c r="U41" t="b">
        <v>0</v>
      </c>
    </row>
    <row r="42" hidden="1">
      <c r="A42" t="s">
        <v>121</v>
      </c>
      <c r="B42" s="2">
        <f>VLOOKUP(A42,PIPE!A:D,4,0)</f>
        <v>347.61000000000001</v>
      </c>
      <c r="C42">
        <v>0</v>
      </c>
      <c r="E42">
        <v>86.530000000000001</v>
      </c>
      <c r="F42">
        <v>347.61000000000001</v>
      </c>
      <c r="G42" t="s">
        <v>122</v>
      </c>
      <c r="H42" t="s">
        <v>98</v>
      </c>
      <c r="U42" t="b">
        <v>0</v>
      </c>
    </row>
    <row r="43" hidden="1">
      <c r="A43" t="s">
        <v>123</v>
      </c>
      <c r="B43" s="2">
        <f>VLOOKUP(A43,PIPE!A:D,4,0)</f>
        <v>562.63</v>
      </c>
      <c r="C43">
        <v>0</v>
      </c>
      <c r="E43">
        <v>31.510000000000002</v>
      </c>
      <c r="F43">
        <v>562.63</v>
      </c>
      <c r="G43" t="s">
        <v>124</v>
      </c>
      <c r="H43" t="s">
        <v>31</v>
      </c>
      <c r="U43" t="b">
        <v>0</v>
      </c>
    </row>
    <row r="44" hidden="1">
      <c r="A44" t="s">
        <v>125</v>
      </c>
      <c r="B44" s="2">
        <f>VLOOKUP(A44,PIPE!A:D,4,0)</f>
        <v>423.45999999999998</v>
      </c>
      <c r="C44">
        <v>0</v>
      </c>
      <c r="E44">
        <v>121.13</v>
      </c>
      <c r="F44">
        <v>423.45999999999998</v>
      </c>
      <c r="G44" t="s">
        <v>126</v>
      </c>
      <c r="H44" t="s">
        <v>127</v>
      </c>
      <c r="U44" t="b">
        <v>0</v>
      </c>
    </row>
    <row r="45" hidden="1">
      <c r="A45" t="s">
        <v>128</v>
      </c>
      <c r="B45" s="2">
        <f>VLOOKUP(A45,PIPE!A:D,4,0)</f>
        <v>423.45999999999998</v>
      </c>
      <c r="C45">
        <v>0</v>
      </c>
      <c r="E45">
        <v>302.32999999999998</v>
      </c>
      <c r="F45">
        <v>423.45999999999998</v>
      </c>
      <c r="G45" t="s">
        <v>129</v>
      </c>
      <c r="H45" t="s">
        <v>127</v>
      </c>
      <c r="U45" t="b">
        <v>0</v>
      </c>
    </row>
    <row r="46" hidden="1">
      <c r="A46" t="s">
        <v>130</v>
      </c>
      <c r="B46" s="2">
        <f>VLOOKUP(A46,PIPE!A:D,4,0)</f>
        <v>336.49000000000001</v>
      </c>
      <c r="C46">
        <v>0</v>
      </c>
      <c r="E46">
        <v>295.43000000000001</v>
      </c>
      <c r="F46">
        <v>336.49000000000001</v>
      </c>
      <c r="G46" t="s">
        <v>131</v>
      </c>
      <c r="H46" t="s">
        <v>31</v>
      </c>
      <c r="U46" t="b">
        <v>0</v>
      </c>
    </row>
    <row r="47" hidden="1">
      <c r="A47" t="s">
        <v>132</v>
      </c>
      <c r="B47" s="2">
        <f>VLOOKUP(A47,PIPE!A:D,4,0)</f>
        <v>263.91000000000003</v>
      </c>
      <c r="C47">
        <v>0</v>
      </c>
      <c r="E47">
        <v>129.19999999999999</v>
      </c>
      <c r="F47">
        <v>263.91000000000003</v>
      </c>
      <c r="G47" t="s">
        <v>133</v>
      </c>
      <c r="H47" t="s">
        <v>78</v>
      </c>
      <c r="U47" t="b">
        <v>0</v>
      </c>
    </row>
    <row r="48" hidden="1">
      <c r="A48" t="s">
        <v>134</v>
      </c>
      <c r="B48" s="2">
        <f>VLOOKUP(A48,PIPE!A:D,4,0)</f>
        <v>243.08000000000001</v>
      </c>
      <c r="C48">
        <v>0</v>
      </c>
      <c r="E48">
        <v>44.009999999999998</v>
      </c>
      <c r="F48">
        <v>243.08000000000001</v>
      </c>
      <c r="G48" t="s">
        <v>135</v>
      </c>
      <c r="H48" t="s">
        <v>40</v>
      </c>
      <c r="U48" t="b">
        <v>0</v>
      </c>
    </row>
    <row r="49">
      <c r="A49" t="s">
        <v>136</v>
      </c>
      <c r="B49" s="2">
        <f>VLOOKUP(A49,PIPE!A:D,4,0)</f>
        <v>68.849999999999994</v>
      </c>
      <c r="C49">
        <v>1</v>
      </c>
      <c r="D49">
        <v>34</v>
      </c>
      <c r="E49">
        <v>57.789999999999999</v>
      </c>
      <c r="F49">
        <v>68.849999999999994</v>
      </c>
      <c r="G49" t="s">
        <v>137</v>
      </c>
      <c r="H49" t="s">
        <v>89</v>
      </c>
      <c r="I49">
        <v>150</v>
      </c>
      <c r="J49">
        <v>138.18312276452789</v>
      </c>
      <c r="K49">
        <v>143.13227088609369</v>
      </c>
      <c r="L49">
        <v>138.18312276452789</v>
      </c>
      <c r="M49">
        <v>45</v>
      </c>
      <c r="N49">
        <v>39.013583780379747</v>
      </c>
      <c r="O49">
        <v>38.69396174267807</v>
      </c>
      <c r="P49">
        <v>38.535900856441799</v>
      </c>
      <c r="Q49">
        <v>0</v>
      </c>
      <c r="S49">
        <v>2035</v>
      </c>
      <c r="T49">
        <v>107.7733384344</v>
      </c>
      <c r="U49" t="b">
        <v>0</v>
      </c>
      <c r="V49">
        <v>2</v>
      </c>
      <c r="W49">
        <v>0</v>
      </c>
      <c r="Z49">
        <v>0</v>
      </c>
      <c r="AA49">
        <v>54.264000000000067</v>
      </c>
      <c r="AB49">
        <v>71.609999999999999</v>
      </c>
      <c r="AC49">
        <v>74.210000000000818</v>
      </c>
      <c r="AD49">
        <v>77.280000000000001</v>
      </c>
    </row>
    <row r="50" hidden="1">
      <c r="A50" t="s">
        <v>138</v>
      </c>
      <c r="B50" s="2">
        <f>VLOOKUP(A50,PIPE!A:D,4,0)</f>
        <v>345.18000000000001</v>
      </c>
      <c r="C50">
        <v>0</v>
      </c>
      <c r="E50">
        <v>303.66000000000003</v>
      </c>
      <c r="F50">
        <v>345.18000000000001</v>
      </c>
      <c r="G50" t="s">
        <v>139</v>
      </c>
      <c r="H50" t="s">
        <v>34</v>
      </c>
      <c r="U50" t="b">
        <v>0</v>
      </c>
    </row>
    <row r="51" hidden="1">
      <c r="A51" t="s">
        <v>140</v>
      </c>
      <c r="B51" s="2">
        <f>VLOOKUP(A51,PIPE!A:D,4,0)</f>
        <v>302.06</v>
      </c>
      <c r="C51">
        <v>0</v>
      </c>
      <c r="E51">
        <v>48.509999999999998</v>
      </c>
      <c r="F51">
        <v>302.06</v>
      </c>
      <c r="G51" t="s">
        <v>141</v>
      </c>
      <c r="H51" t="s">
        <v>52</v>
      </c>
      <c r="U51" t="b">
        <v>0</v>
      </c>
    </row>
    <row r="52" hidden="1">
      <c r="A52" t="s">
        <v>142</v>
      </c>
      <c r="B52" s="2">
        <f>VLOOKUP(A52,PIPE!A:D,4,0)</f>
        <v>562.63</v>
      </c>
      <c r="C52">
        <v>0</v>
      </c>
      <c r="E52">
        <v>530.62</v>
      </c>
      <c r="F52">
        <v>562.63</v>
      </c>
      <c r="G52" t="s">
        <v>143</v>
      </c>
      <c r="H52" t="s">
        <v>52</v>
      </c>
      <c r="U52" t="b">
        <v>0</v>
      </c>
    </row>
    <row r="53" hidden="1">
      <c r="A53" t="s">
        <v>144</v>
      </c>
      <c r="B53" s="2">
        <f>VLOOKUP(A53,PIPE!A:D,4,0)</f>
        <v>228.47999999999999</v>
      </c>
      <c r="C53">
        <v>0</v>
      </c>
      <c r="E53">
        <v>142.80000000000001</v>
      </c>
      <c r="F53">
        <v>228.47999999999999</v>
      </c>
      <c r="G53" t="s">
        <v>145</v>
      </c>
      <c r="H53" t="s">
        <v>49</v>
      </c>
      <c r="U53" t="b">
        <v>0</v>
      </c>
    </row>
    <row r="54">
      <c r="A54" t="s">
        <v>146</v>
      </c>
      <c r="B54" s="2">
        <f>VLOOKUP(A54,PIPE!A:D,4,0)</f>
        <v>448.82999999999998</v>
      </c>
      <c r="C54">
        <v>1</v>
      </c>
      <c r="D54">
        <v>26</v>
      </c>
      <c r="E54">
        <v>328.74000000000001</v>
      </c>
      <c r="F54">
        <v>448.82999999999998</v>
      </c>
      <c r="G54" t="s">
        <v>147</v>
      </c>
      <c r="H54" t="s">
        <v>89</v>
      </c>
      <c r="I54">
        <v>150</v>
      </c>
      <c r="J54">
        <v>76.394581960870369</v>
      </c>
      <c r="K54">
        <v>158.73614383380411</v>
      </c>
      <c r="L54">
        <v>76.394581960870369</v>
      </c>
      <c r="M54">
        <v>45</v>
      </c>
      <c r="N54">
        <v>29.551719921676231</v>
      </c>
      <c r="O54">
        <v>42.362227181569331</v>
      </c>
      <c r="P54">
        <v>28.95222400973573</v>
      </c>
      <c r="Q54">
        <v>1</v>
      </c>
      <c r="R54">
        <v>2045</v>
      </c>
      <c r="S54">
        <v>2045</v>
      </c>
      <c r="T54">
        <v>439.4362078471666</v>
      </c>
      <c r="U54" t="b">
        <v>1</v>
      </c>
      <c r="V54">
        <v>0.42999999999999999</v>
      </c>
      <c r="W54">
        <v>125.5532022420475</v>
      </c>
      <c r="X54">
        <v>50</v>
      </c>
      <c r="Y54">
        <v>10</v>
      </c>
      <c r="Z54">
        <v>0</v>
      </c>
      <c r="AA54">
        <v>0</v>
      </c>
      <c r="AB54">
        <v>0</v>
      </c>
      <c r="AC54">
        <v>45.329020679717857</v>
      </c>
      <c r="AD54">
        <v>53.652627531726722</v>
      </c>
    </row>
    <row r="55">
      <c r="A55" t="s">
        <v>148</v>
      </c>
      <c r="B55" s="2">
        <f>VLOOKUP(A55,PIPE!A:D,4,0)</f>
        <v>151.34999999999999</v>
      </c>
      <c r="C55">
        <v>1</v>
      </c>
      <c r="D55">
        <v>30</v>
      </c>
      <c r="E55">
        <v>51.619999999999997</v>
      </c>
      <c r="F55">
        <v>151.34999999999999</v>
      </c>
      <c r="G55" t="s">
        <v>149</v>
      </c>
      <c r="H55" t="s">
        <v>89</v>
      </c>
      <c r="I55">
        <v>150</v>
      </c>
      <c r="J55">
        <v>105.252000604771</v>
      </c>
      <c r="K55">
        <v>195.26471684537839</v>
      </c>
      <c r="L55">
        <v>105.252000604771</v>
      </c>
      <c r="M55">
        <v>45</v>
      </c>
      <c r="N55">
        <v>35.051578266963872</v>
      </c>
      <c r="O55">
        <v>34.118409264616908</v>
      </c>
      <c r="P55">
        <v>33.907368567036997</v>
      </c>
      <c r="Q55">
        <v>0</v>
      </c>
      <c r="S55">
        <v>2040</v>
      </c>
      <c r="T55">
        <v>161.43178371299999</v>
      </c>
      <c r="U55" t="b">
        <v>0</v>
      </c>
      <c r="V55">
        <v>2</v>
      </c>
      <c r="W55">
        <v>0</v>
      </c>
      <c r="Z55">
        <v>0</v>
      </c>
      <c r="AA55">
        <v>0</v>
      </c>
      <c r="AB55">
        <v>44.674000000000028</v>
      </c>
      <c r="AC55">
        <v>54.120000000001127</v>
      </c>
      <c r="AD55">
        <v>56.32</v>
      </c>
    </row>
    <row r="56" hidden="1">
      <c r="A56" t="s">
        <v>150</v>
      </c>
      <c r="B56" s="2">
        <f>VLOOKUP(A56,PIPE!A:D,4,0)</f>
        <v>347.61000000000001</v>
      </c>
      <c r="C56">
        <v>0</v>
      </c>
      <c r="E56">
        <v>261.07999999999998</v>
      </c>
      <c r="F56">
        <v>347.61000000000001</v>
      </c>
      <c r="G56" t="s">
        <v>151</v>
      </c>
      <c r="H56" t="s">
        <v>34</v>
      </c>
      <c r="U56" t="b">
        <v>0</v>
      </c>
    </row>
    <row r="57" hidden="1">
      <c r="A57" t="s">
        <v>152</v>
      </c>
      <c r="B57" s="2">
        <f>VLOOKUP(A57,PIPE!A:D,4,0)</f>
        <v>245.06</v>
      </c>
      <c r="C57">
        <v>0</v>
      </c>
      <c r="E57">
        <v>222.05000000000001</v>
      </c>
      <c r="F57">
        <v>245.06</v>
      </c>
      <c r="G57" t="s">
        <v>153</v>
      </c>
      <c r="H57" t="s">
        <v>40</v>
      </c>
      <c r="U57" t="b">
        <v>0</v>
      </c>
    </row>
    <row r="58" hidden="1">
      <c r="A58" t="s">
        <v>154</v>
      </c>
      <c r="B58" s="2">
        <f>VLOOKUP(A58,PIPE!A:D,4,0)</f>
        <v>348.87</v>
      </c>
      <c r="C58">
        <v>0</v>
      </c>
      <c r="E58">
        <v>258.26999999999998</v>
      </c>
      <c r="F58">
        <v>348.87</v>
      </c>
      <c r="G58" t="s">
        <v>155</v>
      </c>
      <c r="H58" t="s">
        <v>49</v>
      </c>
      <c r="U58" t="b">
        <v>0</v>
      </c>
    </row>
    <row r="59" hidden="1">
      <c r="A59" t="s">
        <v>156</v>
      </c>
      <c r="B59" s="2">
        <f>VLOOKUP(A59,PIPE!A:D,4,0)</f>
        <v>326.42000000000002</v>
      </c>
      <c r="C59">
        <v>0</v>
      </c>
      <c r="E59">
        <v>209.77000000000001</v>
      </c>
      <c r="F59">
        <v>326.42000000000002</v>
      </c>
      <c r="G59" t="s">
        <v>157</v>
      </c>
      <c r="H59" t="s">
        <v>78</v>
      </c>
      <c r="U59" t="b">
        <v>0</v>
      </c>
    </row>
    <row r="60" hidden="1">
      <c r="A60" t="s">
        <v>158</v>
      </c>
      <c r="B60" s="2">
        <f>VLOOKUP(A60,PIPE!A:D,4,0)</f>
        <v>147.41</v>
      </c>
      <c r="C60">
        <v>0</v>
      </c>
      <c r="E60">
        <v>61.670000000000002</v>
      </c>
      <c r="F60">
        <v>147.41</v>
      </c>
      <c r="G60" t="s">
        <v>159</v>
      </c>
      <c r="H60" t="s">
        <v>49</v>
      </c>
      <c r="U60" t="b">
        <v>0</v>
      </c>
    </row>
    <row r="61" hidden="1">
      <c r="A61" t="s">
        <v>160</v>
      </c>
      <c r="B61" s="2">
        <f>VLOOKUP(A61,PIPE!A:D,4,0)</f>
        <v>325.82999999999998</v>
      </c>
      <c r="C61">
        <v>0</v>
      </c>
      <c r="E61">
        <v>77.079999999999998</v>
      </c>
      <c r="F61">
        <v>325.82999999999998</v>
      </c>
      <c r="G61" t="s">
        <v>161</v>
      </c>
      <c r="H61" t="s">
        <v>40</v>
      </c>
      <c r="U61" t="b">
        <v>0</v>
      </c>
    </row>
    <row r="62" hidden="1">
      <c r="A62" t="s">
        <v>162</v>
      </c>
      <c r="B62" s="2">
        <f>VLOOKUP(A62,PIPE!A:D,4,0)</f>
        <v>80.230000000000004</v>
      </c>
      <c r="C62">
        <v>0</v>
      </c>
      <c r="E62">
        <v>14.539999999999999</v>
      </c>
      <c r="F62">
        <v>80.230000000000004</v>
      </c>
      <c r="G62" t="s">
        <v>163</v>
      </c>
      <c r="H62" t="s">
        <v>49</v>
      </c>
      <c r="U62" t="b">
        <v>0</v>
      </c>
    </row>
    <row r="63">
      <c r="A63" t="s">
        <v>164</v>
      </c>
      <c r="B63" s="2">
        <f>VLOOKUP(A63,PIPE!A:D,4,0)</f>
        <v>228.47999999999999</v>
      </c>
      <c r="C63">
        <v>1</v>
      </c>
      <c r="D63">
        <v>30</v>
      </c>
      <c r="E63">
        <v>85.680000000000007</v>
      </c>
      <c r="F63">
        <v>228.47999999999999</v>
      </c>
      <c r="G63" t="s">
        <v>165</v>
      </c>
      <c r="H63" t="s">
        <v>40</v>
      </c>
      <c r="I63">
        <v>150</v>
      </c>
      <c r="J63">
        <v>96.01490431867812</v>
      </c>
      <c r="K63">
        <v>157.9277203766535</v>
      </c>
      <c r="L63">
        <v>96.01490431867812</v>
      </c>
      <c r="M63">
        <v>45</v>
      </c>
      <c r="N63">
        <v>36.282553390452129</v>
      </c>
      <c r="O63">
        <v>47.696959192666291</v>
      </c>
      <c r="P63">
        <v>36.683907297240502</v>
      </c>
      <c r="Q63">
        <v>1</v>
      </c>
      <c r="R63">
        <v>2050</v>
      </c>
      <c r="S63">
        <v>2050</v>
      </c>
      <c r="T63">
        <v>201.35991532339199</v>
      </c>
      <c r="U63" t="b">
        <v>1</v>
      </c>
      <c r="V63">
        <v>0.42999999999999999</v>
      </c>
      <c r="W63">
        <v>57.531404378111972</v>
      </c>
      <c r="X63">
        <v>50</v>
      </c>
      <c r="Y63">
        <v>10</v>
      </c>
      <c r="Z63">
        <v>0</v>
      </c>
      <c r="AA63">
        <v>0</v>
      </c>
      <c r="AB63">
        <v>0</v>
      </c>
      <c r="AC63">
        <v>0</v>
      </c>
      <c r="AD63">
        <v>73.040000000001072</v>
      </c>
    </row>
    <row r="64" hidden="1">
      <c r="A64" t="s">
        <v>166</v>
      </c>
      <c r="B64" s="2">
        <f>VLOOKUP(A64,PIPE!A:D,4,0)</f>
        <v>348.87</v>
      </c>
      <c r="C64">
        <v>0</v>
      </c>
      <c r="E64">
        <v>90.599999999999994</v>
      </c>
      <c r="F64">
        <v>348.87</v>
      </c>
      <c r="G64" t="s">
        <v>167</v>
      </c>
      <c r="H64" t="s">
        <v>40</v>
      </c>
      <c r="U64" t="b">
        <v>0</v>
      </c>
    </row>
    <row r="65" hidden="1">
      <c r="A65" t="s">
        <v>168</v>
      </c>
      <c r="B65" s="2">
        <f>VLOOKUP(A65,PIPE!A:D,4,0)</f>
        <v>553.72000000000003</v>
      </c>
      <c r="C65">
        <v>0</v>
      </c>
      <c r="E65">
        <v>353.63999999999999</v>
      </c>
      <c r="F65">
        <v>553.72000000000003</v>
      </c>
      <c r="G65" t="s">
        <v>169</v>
      </c>
      <c r="H65" t="s">
        <v>46</v>
      </c>
      <c r="U65" t="b">
        <v>0</v>
      </c>
    </row>
    <row r="66">
      <c r="A66" t="s">
        <v>170</v>
      </c>
      <c r="B66" s="2">
        <f>VLOOKUP(A66,PIPE!A:D,4,0)</f>
        <v>45.280000000000001</v>
      </c>
      <c r="C66">
        <v>1</v>
      </c>
      <c r="D66">
        <v>30</v>
      </c>
      <c r="E66">
        <v>8.0500000000000007</v>
      </c>
      <c r="F66">
        <v>45.280000000000001</v>
      </c>
      <c r="G66" t="s">
        <v>171</v>
      </c>
      <c r="H66" t="s">
        <v>98</v>
      </c>
      <c r="I66">
        <v>192.12779941565509</v>
      </c>
      <c r="J66">
        <v>190.24210549899269</v>
      </c>
      <c r="K66">
        <v>197.8964053378393</v>
      </c>
      <c r="L66">
        <v>190.24210549899269</v>
      </c>
      <c r="M66">
        <v>36.785658540314863</v>
      </c>
      <c r="N66">
        <v>35.643533324182279</v>
      </c>
      <c r="O66">
        <v>32.497216056499752</v>
      </c>
      <c r="P66">
        <v>32.571309953886917</v>
      </c>
      <c r="Q66">
        <v>0</v>
      </c>
      <c r="S66">
        <v>2050</v>
      </c>
      <c r="T66">
        <v>27.8841810815996</v>
      </c>
      <c r="U66" t="b">
        <v>0</v>
      </c>
      <c r="V66">
        <v>2</v>
      </c>
      <c r="W66">
        <v>0</v>
      </c>
      <c r="Z66">
        <v>0</v>
      </c>
      <c r="AA66">
        <v>0</v>
      </c>
      <c r="AB66">
        <v>0</v>
      </c>
      <c r="AC66">
        <v>0</v>
      </c>
      <c r="AD66">
        <v>48.58602067972064</v>
      </c>
    </row>
    <row r="67">
      <c r="A67" t="s">
        <v>172</v>
      </c>
      <c r="B67" s="2">
        <f>VLOOKUP(A67,PIPE!A:D,4,0)</f>
        <v>343.97000000000003</v>
      </c>
      <c r="C67">
        <v>1</v>
      </c>
      <c r="D67">
        <v>34</v>
      </c>
      <c r="E67">
        <v>183.25</v>
      </c>
      <c r="F67">
        <v>343.97000000000003</v>
      </c>
      <c r="G67" t="s">
        <v>173</v>
      </c>
      <c r="H67" t="s">
        <v>78</v>
      </c>
      <c r="I67">
        <v>177.42877916613961</v>
      </c>
      <c r="J67">
        <v>84.595636760079657</v>
      </c>
      <c r="K67">
        <v>192.12779941565341</v>
      </c>
      <c r="L67">
        <v>84.595636760079657</v>
      </c>
      <c r="M67">
        <v>48.505169832423377</v>
      </c>
      <c r="N67">
        <v>25.442422662572891</v>
      </c>
      <c r="O67">
        <v>36.785658540313761</v>
      </c>
      <c r="P67">
        <v>25.293758024857208</v>
      </c>
      <c r="Q67">
        <v>1</v>
      </c>
      <c r="R67">
        <v>2050</v>
      </c>
      <c r="S67">
        <v>2050</v>
      </c>
      <c r="T67">
        <v>244.00848204656</v>
      </c>
      <c r="U67" t="b">
        <v>0</v>
      </c>
      <c r="V67">
        <v>2</v>
      </c>
      <c r="W67">
        <v>0</v>
      </c>
      <c r="X67">
        <v>50</v>
      </c>
      <c r="Y67">
        <v>10</v>
      </c>
      <c r="Z67">
        <v>0</v>
      </c>
      <c r="AA67">
        <v>0</v>
      </c>
      <c r="AB67">
        <v>0</v>
      </c>
      <c r="AC67">
        <v>0</v>
      </c>
      <c r="AD67">
        <v>48.58602067972064</v>
      </c>
    </row>
    <row r="68" hidden="1">
      <c r="A68" t="s">
        <v>174</v>
      </c>
      <c r="B68" s="2">
        <f>VLOOKUP(A68,PIPE!A:D,4,0)</f>
        <v>356.04000000000002</v>
      </c>
      <c r="C68">
        <v>0</v>
      </c>
      <c r="E68">
        <v>154.52000000000001</v>
      </c>
      <c r="F68">
        <v>356.04000000000002</v>
      </c>
      <c r="G68" t="s">
        <v>175</v>
      </c>
      <c r="H68" t="s">
        <v>49</v>
      </c>
      <c r="U68" t="b">
        <v>0</v>
      </c>
    </row>
    <row r="69" hidden="1">
      <c r="A69" t="s">
        <v>176</v>
      </c>
      <c r="B69" s="2">
        <f>VLOOKUP(A69,PIPE!A:D,4,0)</f>
        <v>130.69999999999999</v>
      </c>
      <c r="C69">
        <v>0</v>
      </c>
      <c r="E69">
        <v>75.609999999999999</v>
      </c>
      <c r="F69">
        <v>130.69999999999999</v>
      </c>
      <c r="G69" t="s">
        <v>177</v>
      </c>
      <c r="H69" t="s">
        <v>49</v>
      </c>
      <c r="U69" t="b">
        <v>0</v>
      </c>
    </row>
    <row r="70" hidden="1">
      <c r="A70" t="s">
        <v>178</v>
      </c>
      <c r="B70" s="2">
        <f>VLOOKUP(A70,PIPE!A:D,4,0)</f>
        <v>518.05999999999995</v>
      </c>
      <c r="C70">
        <v>0</v>
      </c>
      <c r="E70">
        <v>351.04000000000002</v>
      </c>
      <c r="F70">
        <v>518.05999999999995</v>
      </c>
      <c r="G70" t="s">
        <v>179</v>
      </c>
      <c r="H70" t="s">
        <v>65</v>
      </c>
      <c r="U70" t="b">
        <v>0</v>
      </c>
    </row>
    <row r="71" hidden="1">
      <c r="A71" t="s">
        <v>180</v>
      </c>
      <c r="B71" s="2">
        <f>VLOOKUP(A71,PIPE!A:D,4,0)</f>
        <v>343.97000000000003</v>
      </c>
      <c r="C71">
        <v>0</v>
      </c>
      <c r="E71">
        <v>160.72</v>
      </c>
      <c r="F71">
        <v>343.97000000000003</v>
      </c>
      <c r="G71" t="s">
        <v>181</v>
      </c>
      <c r="H71" t="s">
        <v>78</v>
      </c>
      <c r="U71" t="b">
        <v>0</v>
      </c>
    </row>
    <row r="72">
      <c r="A72" t="s">
        <v>182</v>
      </c>
      <c r="B72" s="2">
        <f>VLOOKUP(A72,PIPE!A:D,4,0)</f>
        <v>179.47</v>
      </c>
      <c r="C72">
        <v>1</v>
      </c>
      <c r="D72">
        <v>26</v>
      </c>
      <c r="E72">
        <v>38.100000000000001</v>
      </c>
      <c r="F72">
        <v>179.47</v>
      </c>
      <c r="G72" t="s">
        <v>183</v>
      </c>
      <c r="H72" t="s">
        <v>40</v>
      </c>
      <c r="I72">
        <v>150</v>
      </c>
      <c r="J72">
        <v>109.7666773292532</v>
      </c>
      <c r="K72">
        <v>140.1805930352721</v>
      </c>
      <c r="L72">
        <v>109.7666773292532</v>
      </c>
      <c r="M72">
        <v>45</v>
      </c>
      <c r="N72">
        <v>38.838993730834503</v>
      </c>
      <c r="O72">
        <v>41.308749287852862</v>
      </c>
      <c r="P72">
        <v>39.44455658561948</v>
      </c>
      <c r="Q72">
        <v>0</v>
      </c>
      <c r="S72">
        <v>2030</v>
      </c>
      <c r="T72">
        <v>408.55501459768789</v>
      </c>
      <c r="U72" t="b">
        <v>1</v>
      </c>
      <c r="V72">
        <v>0.42999999999999999</v>
      </c>
      <c r="W72">
        <v>116.7300041707679</v>
      </c>
      <c r="Z72">
        <v>49.549999999999997</v>
      </c>
      <c r="AA72">
        <v>50.730000000000032</v>
      </c>
      <c r="AB72">
        <v>7.5859999999999701</v>
      </c>
      <c r="AC72">
        <v>0</v>
      </c>
      <c r="AD72">
        <v>0</v>
      </c>
    </row>
    <row r="73" hidden="1">
      <c r="A73" t="s">
        <v>184</v>
      </c>
      <c r="B73" s="2">
        <f>VLOOKUP(A73,PIPE!A:D,4,0)</f>
        <v>361.88</v>
      </c>
      <c r="C73">
        <v>0</v>
      </c>
      <c r="E73">
        <v>268.79000000000002</v>
      </c>
      <c r="F73">
        <v>361.88</v>
      </c>
      <c r="G73" t="s">
        <v>185</v>
      </c>
      <c r="H73" t="s">
        <v>78</v>
      </c>
      <c r="U73" t="b">
        <v>0</v>
      </c>
    </row>
    <row r="74" hidden="1">
      <c r="A74" t="s">
        <v>186</v>
      </c>
      <c r="B74" s="2">
        <f>VLOOKUP(A74,PIPE!A:D,4,0)</f>
        <v>325.82999999999998</v>
      </c>
      <c r="C74">
        <v>0</v>
      </c>
      <c r="E74">
        <v>248.75</v>
      </c>
      <c r="F74">
        <v>325.82999999999998</v>
      </c>
      <c r="G74" t="s">
        <v>187</v>
      </c>
      <c r="H74" t="s">
        <v>49</v>
      </c>
      <c r="U74" t="b">
        <v>0</v>
      </c>
    </row>
    <row r="75" hidden="1">
      <c r="A75" t="s">
        <v>188</v>
      </c>
      <c r="B75" s="2">
        <f>VLOOKUP(A75,PIPE!A:D,4,0)</f>
        <v>463.39999999999998</v>
      </c>
      <c r="C75">
        <v>0</v>
      </c>
      <c r="E75">
        <v>173.15000000000001</v>
      </c>
      <c r="F75">
        <v>463.39999999999998</v>
      </c>
      <c r="G75" t="s">
        <v>189</v>
      </c>
      <c r="H75" t="s">
        <v>89</v>
      </c>
      <c r="U75" t="b">
        <v>0</v>
      </c>
    </row>
    <row r="76" hidden="1">
      <c r="A76" t="s">
        <v>190</v>
      </c>
      <c r="B76" s="2">
        <f>VLOOKUP(A76,PIPE!A:D,4,0)</f>
        <v>179.47</v>
      </c>
      <c r="C76">
        <v>0</v>
      </c>
      <c r="E76">
        <v>141.37</v>
      </c>
      <c r="F76">
        <v>179.47</v>
      </c>
      <c r="G76" t="s">
        <v>191</v>
      </c>
      <c r="H76" t="s">
        <v>49</v>
      </c>
      <c r="U76" t="b">
        <v>0</v>
      </c>
    </row>
    <row r="77" hidden="1">
      <c r="A77" t="s">
        <v>192</v>
      </c>
      <c r="B77" s="2">
        <f>VLOOKUP(A77,PIPE!A:D,4,0)</f>
        <v>463.39999999999998</v>
      </c>
      <c r="C77">
        <v>0</v>
      </c>
      <c r="E77">
        <v>290.25</v>
      </c>
      <c r="F77">
        <v>463.39999999999998</v>
      </c>
      <c r="G77" t="s">
        <v>193</v>
      </c>
      <c r="H77" t="s">
        <v>65</v>
      </c>
      <c r="U77" t="b">
        <v>0</v>
      </c>
    </row>
    <row r="78" hidden="1">
      <c r="A78" t="s">
        <v>194</v>
      </c>
      <c r="B78" s="2">
        <f>VLOOKUP(A78,PIPE!A:D,4,0)</f>
        <v>189.69</v>
      </c>
      <c r="C78">
        <v>0</v>
      </c>
      <c r="E78">
        <v>160.66</v>
      </c>
      <c r="F78">
        <v>189.69</v>
      </c>
      <c r="G78" t="s">
        <v>195</v>
      </c>
      <c r="H78" t="s">
        <v>49</v>
      </c>
      <c r="U78" t="b">
        <v>0</v>
      </c>
    </row>
    <row r="79" hidden="1">
      <c r="A79" t="s">
        <v>196</v>
      </c>
      <c r="B79" s="2">
        <f>VLOOKUP(A79,PIPE!A:D,4,0)</f>
        <v>166.22999999999999</v>
      </c>
      <c r="C79">
        <v>0</v>
      </c>
      <c r="E79">
        <v>80.109999999999999</v>
      </c>
      <c r="F79">
        <v>166.22999999999999</v>
      </c>
      <c r="G79" t="s">
        <v>197</v>
      </c>
      <c r="H79" t="s">
        <v>37</v>
      </c>
      <c r="U79" t="b">
        <v>0</v>
      </c>
    </row>
    <row r="80" hidden="1">
      <c r="A80" t="s">
        <v>198</v>
      </c>
      <c r="B80" s="2">
        <f>VLOOKUP(A80,PIPE!A:D,4,0)</f>
        <v>45.280000000000001</v>
      </c>
      <c r="C80">
        <v>0</v>
      </c>
      <c r="E80">
        <v>37.229999999999997</v>
      </c>
      <c r="F80">
        <v>45.280000000000001</v>
      </c>
      <c r="G80" t="s">
        <v>199</v>
      </c>
      <c r="H80" t="s">
        <v>34</v>
      </c>
      <c r="U80" t="b">
        <v>0</v>
      </c>
    </row>
    <row r="81" hidden="1">
      <c r="A81" t="s">
        <v>200</v>
      </c>
      <c r="B81" s="2">
        <f>VLOOKUP(A81,PIPE!A:D,4,0)</f>
        <v>447.88999999999999</v>
      </c>
      <c r="C81">
        <v>0</v>
      </c>
      <c r="E81">
        <v>134.62</v>
      </c>
      <c r="F81">
        <v>447.88999999999999</v>
      </c>
      <c r="G81" t="s">
        <v>201</v>
      </c>
      <c r="H81" t="s">
        <v>46</v>
      </c>
      <c r="U81" t="b">
        <v>0</v>
      </c>
    </row>
    <row r="82" hidden="1">
      <c r="A82" t="s">
        <v>202</v>
      </c>
      <c r="B82" s="2">
        <f>VLOOKUP(A82,PIPE!A:D,4,0)</f>
        <v>561.50999999999999</v>
      </c>
      <c r="C82">
        <v>0</v>
      </c>
      <c r="E82">
        <v>332.5</v>
      </c>
      <c r="F82">
        <v>561.50999999999999</v>
      </c>
      <c r="G82" t="s">
        <v>203</v>
      </c>
      <c r="H82" t="s">
        <v>46</v>
      </c>
      <c r="U82" t="b">
        <v>0</v>
      </c>
    </row>
    <row r="83" hidden="1">
      <c r="A83" t="s">
        <v>204</v>
      </c>
      <c r="B83" s="2">
        <f>VLOOKUP(A83,PIPE!A:D,4,0)</f>
        <v>369.45999999999998</v>
      </c>
      <c r="C83">
        <v>0</v>
      </c>
      <c r="E83">
        <v>305.38</v>
      </c>
      <c r="F83">
        <v>369.45999999999998</v>
      </c>
      <c r="G83" t="s">
        <v>205</v>
      </c>
      <c r="H83" t="s">
        <v>49</v>
      </c>
      <c r="U83" t="b">
        <v>0</v>
      </c>
    </row>
    <row r="84">
      <c r="A84" t="s">
        <v>206</v>
      </c>
      <c r="B84" s="2">
        <f>VLOOKUP(A84,PIPE!A:D,4,0)</f>
        <v>110.44</v>
      </c>
      <c r="C84">
        <v>1</v>
      </c>
      <c r="D84">
        <v>42</v>
      </c>
      <c r="E84">
        <v>12.050000000000001</v>
      </c>
      <c r="F84">
        <v>110.44</v>
      </c>
      <c r="G84" t="s">
        <v>207</v>
      </c>
      <c r="H84" t="s">
        <v>31</v>
      </c>
      <c r="I84">
        <v>150</v>
      </c>
      <c r="J84">
        <v>111.45129452507091</v>
      </c>
      <c r="K84">
        <v>151.59614872061721</v>
      </c>
      <c r="L84">
        <v>111.45129452507091</v>
      </c>
      <c r="M84">
        <v>45</v>
      </c>
      <c r="N84">
        <v>39.170461492190597</v>
      </c>
      <c r="O84">
        <v>38.897363595852113</v>
      </c>
      <c r="P84">
        <v>38.937453318270897</v>
      </c>
      <c r="Q84">
        <v>0</v>
      </c>
      <c r="S84">
        <v>2035</v>
      </c>
      <c r="T84">
        <v>216.29824905216</v>
      </c>
      <c r="U84" t="b">
        <v>0</v>
      </c>
      <c r="V84">
        <v>2</v>
      </c>
      <c r="W84">
        <v>0</v>
      </c>
      <c r="Z84">
        <v>0</v>
      </c>
      <c r="AA84">
        <v>135.76400000000001</v>
      </c>
      <c r="AB84">
        <v>131.3300000000001</v>
      </c>
      <c r="AC84">
        <v>83.130979320282151</v>
      </c>
      <c r="AD84">
        <v>73.417372468273314</v>
      </c>
    </row>
    <row r="85">
      <c r="A85" t="s">
        <v>208</v>
      </c>
      <c r="B85" s="2">
        <f>VLOOKUP(A85,PIPE!A:D,4,0)</f>
        <v>127.09999999999999</v>
      </c>
      <c r="C85">
        <v>1</v>
      </c>
      <c r="D85">
        <v>26</v>
      </c>
      <c r="E85">
        <v>42.530000000000001</v>
      </c>
      <c r="F85">
        <v>127.09999999999999</v>
      </c>
      <c r="G85" t="s">
        <v>209</v>
      </c>
      <c r="H85" t="s">
        <v>98</v>
      </c>
      <c r="I85">
        <v>141.68952242732789</v>
      </c>
      <c r="J85">
        <v>108.6127779968545</v>
      </c>
      <c r="K85">
        <v>174.80504069099669</v>
      </c>
      <c r="L85">
        <v>108.6127779968545</v>
      </c>
      <c r="M85">
        <v>43.137130582980959</v>
      </c>
      <c r="N85">
        <v>34.921097275846599</v>
      </c>
      <c r="O85">
        <v>32.469952215486529</v>
      </c>
      <c r="P85">
        <v>32.442863164606642</v>
      </c>
      <c r="Q85">
        <v>0</v>
      </c>
      <c r="S85">
        <v>2050</v>
      </c>
      <c r="T85">
        <v>72.321194335559994</v>
      </c>
      <c r="U85" t="b">
        <v>0</v>
      </c>
      <c r="V85">
        <v>2</v>
      </c>
      <c r="W85">
        <v>0</v>
      </c>
      <c r="Z85">
        <v>0</v>
      </c>
      <c r="AA85">
        <v>0</v>
      </c>
      <c r="AB85">
        <v>0</v>
      </c>
      <c r="AC85">
        <v>0</v>
      </c>
      <c r="AD85">
        <v>18.68</v>
      </c>
    </row>
    <row r="86" hidden="1">
      <c r="A86" t="s">
        <v>210</v>
      </c>
      <c r="B86" s="2">
        <f>VLOOKUP(A86,PIPE!A:D,4,0)</f>
        <v>233.52000000000001</v>
      </c>
      <c r="C86">
        <v>0</v>
      </c>
      <c r="E86">
        <v>4</v>
      </c>
      <c r="F86">
        <v>233.52000000000001</v>
      </c>
      <c r="G86" t="s">
        <v>211</v>
      </c>
      <c r="H86" t="s">
        <v>49</v>
      </c>
      <c r="U86" t="b">
        <v>0</v>
      </c>
    </row>
    <row r="87" hidden="1">
      <c r="A87" t="s">
        <v>212</v>
      </c>
      <c r="B87" s="2">
        <f>VLOOKUP(A87,PIPE!A:D,4,0)</f>
        <v>189.66</v>
      </c>
      <c r="C87">
        <v>0</v>
      </c>
      <c r="E87">
        <v>25.02</v>
      </c>
      <c r="F87">
        <v>189.66</v>
      </c>
      <c r="G87" t="s">
        <v>213</v>
      </c>
      <c r="H87" t="s">
        <v>98</v>
      </c>
      <c r="U87" t="b">
        <v>0</v>
      </c>
    </row>
    <row r="88">
      <c r="A88" t="s">
        <v>214</v>
      </c>
      <c r="B88" s="2">
        <f>VLOOKUP(A88,PIPE!A:D,4,0)</f>
        <v>78.120000000000005</v>
      </c>
      <c r="C88">
        <v>1</v>
      </c>
      <c r="D88">
        <v>18</v>
      </c>
      <c r="E88">
        <v>0</v>
      </c>
      <c r="F88">
        <v>78.120000000000005</v>
      </c>
      <c r="G88" t="s">
        <v>215</v>
      </c>
      <c r="H88" t="s">
        <v>89</v>
      </c>
      <c r="I88">
        <v>150</v>
      </c>
      <c r="J88">
        <v>150</v>
      </c>
      <c r="K88">
        <v>175.60294936505889</v>
      </c>
      <c r="L88">
        <v>150</v>
      </c>
      <c r="M88">
        <v>45</v>
      </c>
      <c r="N88">
        <v>45</v>
      </c>
      <c r="O88">
        <v>32.686696400832687</v>
      </c>
      <c r="P88">
        <v>32.718704841791507</v>
      </c>
      <c r="Q88">
        <v>0</v>
      </c>
      <c r="S88">
        <v>2045</v>
      </c>
      <c r="T88">
        <v>43.419734671621541</v>
      </c>
      <c r="U88" t="b">
        <v>0</v>
      </c>
      <c r="V88">
        <v>2</v>
      </c>
      <c r="W88">
        <v>0</v>
      </c>
      <c r="Z88">
        <v>0</v>
      </c>
      <c r="AA88">
        <v>0</v>
      </c>
      <c r="AB88">
        <v>0</v>
      </c>
      <c r="AC88">
        <v>26.413979320280159</v>
      </c>
      <c r="AD88">
        <v>26.41397932027936</v>
      </c>
    </row>
    <row r="89" hidden="1">
      <c r="A89" t="s">
        <v>216</v>
      </c>
      <c r="B89" s="2">
        <f>VLOOKUP(A89,PIPE!A:D,4,0)</f>
        <v>151.34999999999999</v>
      </c>
      <c r="C89">
        <v>0</v>
      </c>
      <c r="E89">
        <v>99.730000000000004</v>
      </c>
      <c r="F89">
        <v>151.34999999999999</v>
      </c>
      <c r="G89" t="s">
        <v>217</v>
      </c>
      <c r="H89" t="s">
        <v>65</v>
      </c>
      <c r="U89" t="b">
        <v>0</v>
      </c>
    </row>
    <row r="90" hidden="1">
      <c r="A90" t="s">
        <v>218</v>
      </c>
      <c r="B90" s="2">
        <f>VLOOKUP(A90,PIPE!A:D,4,0)</f>
        <v>336.49000000000001</v>
      </c>
      <c r="C90">
        <v>0</v>
      </c>
      <c r="E90">
        <v>40.560000000000002</v>
      </c>
      <c r="F90">
        <v>336.49000000000001</v>
      </c>
      <c r="G90" t="s">
        <v>219</v>
      </c>
      <c r="H90" t="s">
        <v>52</v>
      </c>
      <c r="U90" t="b">
        <v>0</v>
      </c>
    </row>
    <row r="91" hidden="1">
      <c r="A91" t="s">
        <v>220</v>
      </c>
      <c r="B91" s="2">
        <f>VLOOKUP(A91,PIPE!A:D,4,0)</f>
        <v>447.88999999999999</v>
      </c>
      <c r="C91">
        <v>0</v>
      </c>
      <c r="E91">
        <v>313.26999999999998</v>
      </c>
      <c r="F91">
        <v>447.88999999999999</v>
      </c>
      <c r="G91" t="s">
        <v>221</v>
      </c>
      <c r="H91" t="s">
        <v>46</v>
      </c>
      <c r="U91" t="b">
        <v>0</v>
      </c>
    </row>
    <row r="92" hidden="1">
      <c r="A92" t="s">
        <v>222</v>
      </c>
      <c r="B92" s="2">
        <f>VLOOKUP(A92,PIPE!A:D,4,0)</f>
        <v>491.30000000000001</v>
      </c>
      <c r="C92">
        <v>0</v>
      </c>
      <c r="E92">
        <v>140.08000000000001</v>
      </c>
      <c r="F92">
        <v>491.30000000000001</v>
      </c>
      <c r="G92" t="s">
        <v>223</v>
      </c>
      <c r="H92" t="s">
        <v>43</v>
      </c>
      <c r="U92" t="b">
        <v>0</v>
      </c>
    </row>
    <row r="93" hidden="1">
      <c r="A93" t="s">
        <v>224</v>
      </c>
      <c r="B93" s="2">
        <f>VLOOKUP(A93,PIPE!A:D,4,0)</f>
        <v>370.19</v>
      </c>
      <c r="C93">
        <v>0</v>
      </c>
      <c r="E93">
        <v>221.62</v>
      </c>
      <c r="F93">
        <v>370.19</v>
      </c>
      <c r="G93" t="s">
        <v>225</v>
      </c>
      <c r="H93" t="s">
        <v>46</v>
      </c>
      <c r="U93" t="b">
        <v>0</v>
      </c>
    </row>
    <row r="94" hidden="1">
      <c r="A94" t="s">
        <v>226</v>
      </c>
      <c r="B94" s="2">
        <f>VLOOKUP(A94,PIPE!A:D,4,0)</f>
        <v>356.04000000000002</v>
      </c>
      <c r="C94">
        <v>0</v>
      </c>
      <c r="E94">
        <v>201.52000000000001</v>
      </c>
      <c r="F94">
        <v>356.04000000000002</v>
      </c>
      <c r="G94" t="s">
        <v>227</v>
      </c>
      <c r="H94" t="s">
        <v>40</v>
      </c>
      <c r="U94" t="b">
        <v>0</v>
      </c>
    </row>
    <row r="95">
      <c r="A95" t="s">
        <v>228</v>
      </c>
      <c r="B95" s="2">
        <f>VLOOKUP(A95,PIPE!A:D,4,0)</f>
        <v>141.72999999999999</v>
      </c>
      <c r="C95">
        <v>1</v>
      </c>
      <c r="D95">
        <v>22</v>
      </c>
      <c r="E95">
        <v>9.0099999999999998</v>
      </c>
      <c r="F95">
        <v>141.72999999999999</v>
      </c>
      <c r="G95" t="s">
        <v>229</v>
      </c>
      <c r="H95" t="s">
        <v>40</v>
      </c>
      <c r="I95">
        <v>150</v>
      </c>
      <c r="J95">
        <v>127.65951811255169</v>
      </c>
      <c r="K95">
        <v>127.4287791661389</v>
      </c>
      <c r="L95">
        <v>127.4287791661388</v>
      </c>
      <c r="M95">
        <v>45</v>
      </c>
      <c r="N95">
        <v>38.548501824233703</v>
      </c>
      <c r="O95">
        <v>38.505169832423157</v>
      </c>
      <c r="P95">
        <v>38.81205954605867</v>
      </c>
      <c r="Q95">
        <v>1</v>
      </c>
      <c r="R95">
        <v>2050</v>
      </c>
      <c r="S95">
        <v>2030</v>
      </c>
      <c r="T95">
        <v>269.33298347646559</v>
      </c>
      <c r="U95" t="b">
        <v>1</v>
      </c>
      <c r="V95">
        <v>0.42999999999999999</v>
      </c>
      <c r="W95">
        <v>76.952280993275892</v>
      </c>
      <c r="X95">
        <v>50</v>
      </c>
      <c r="Y95">
        <v>10</v>
      </c>
      <c r="Z95">
        <v>19.637999999999991</v>
      </c>
      <c r="AA95">
        <v>0</v>
      </c>
      <c r="AB95">
        <v>27.609999999999999</v>
      </c>
      <c r="AC95">
        <v>28.510000000000002</v>
      </c>
      <c r="AD95">
        <v>29.59</v>
      </c>
    </row>
    <row r="96" hidden="1">
      <c r="A96" t="s">
        <v>230</v>
      </c>
      <c r="B96" s="2">
        <f>VLOOKUP(A96,PIPE!A:D,4,0)</f>
        <v>222.05000000000001</v>
      </c>
      <c r="C96">
        <v>0</v>
      </c>
      <c r="E96">
        <v>75.019999999999996</v>
      </c>
      <c r="F96">
        <v>222.05000000000001</v>
      </c>
      <c r="G96" t="s">
        <v>231</v>
      </c>
      <c r="H96" t="s">
        <v>49</v>
      </c>
      <c r="U96" t="b">
        <v>0</v>
      </c>
    </row>
    <row r="97" hidden="1">
      <c r="A97" t="s">
        <v>232</v>
      </c>
      <c r="B97" s="2">
        <f>VLOOKUP(A97,PIPE!A:D,4,0)</f>
        <v>189.66</v>
      </c>
      <c r="C97">
        <v>0</v>
      </c>
      <c r="E97">
        <v>164.63999999999999</v>
      </c>
      <c r="F97">
        <v>189.66</v>
      </c>
      <c r="G97" t="s">
        <v>233</v>
      </c>
      <c r="H97" t="s">
        <v>34</v>
      </c>
      <c r="U97" t="b">
        <v>0</v>
      </c>
    </row>
    <row r="98" hidden="1">
      <c r="A98" t="s">
        <v>234</v>
      </c>
      <c r="B98" s="2">
        <f>VLOOKUP(A98,PIPE!A:D,4,0)</f>
        <v>24.609999999999999</v>
      </c>
      <c r="C98">
        <v>0</v>
      </c>
      <c r="E98">
        <v>0</v>
      </c>
      <c r="F98">
        <v>24.609999999999999</v>
      </c>
      <c r="G98" t="s">
        <v>235</v>
      </c>
      <c r="H98" t="s">
        <v>43</v>
      </c>
    </row>
    <row r="99">
      <c r="A99" t="s">
        <v>236</v>
      </c>
      <c r="B99" s="2">
        <f>VLOOKUP(A99,PIPE!A:D,4,0)</f>
        <v>25.420000000000002</v>
      </c>
      <c r="C99">
        <v>1</v>
      </c>
      <c r="D99">
        <v>38</v>
      </c>
      <c r="E99">
        <v>0</v>
      </c>
      <c r="F99">
        <v>25.420000000000002</v>
      </c>
      <c r="G99" t="s">
        <v>237</v>
      </c>
      <c r="H99" t="s">
        <v>43</v>
      </c>
      <c r="I99">
        <v>229.1929265244068</v>
      </c>
      <c r="K99">
        <v>226.87292652440681</v>
      </c>
      <c r="L99">
        <v>226.87292652440681</v>
      </c>
      <c r="M99">
        <v>40.276309174969981</v>
      </c>
      <c r="O99">
        <v>32</v>
      </c>
      <c r="Q99">
        <v>0</v>
      </c>
      <c r="S99">
        <v>2040</v>
      </c>
      <c r="T99">
        <v>66.686421280000005</v>
      </c>
      <c r="W99">
        <v>0</v>
      </c>
      <c r="Z99">
        <v>0</v>
      </c>
      <c r="AA99">
        <v>0</v>
      </c>
      <c r="AB99">
        <v>104.64</v>
      </c>
      <c r="AC99">
        <v>107.39</v>
      </c>
      <c r="AD99">
        <v>110.84999999999999</v>
      </c>
    </row>
    <row r="100" hidden="1">
      <c r="A100" t="s">
        <v>238</v>
      </c>
      <c r="B100" s="2">
        <f>VLOOKUP(A100,PIPE!A:D,4,0)</f>
        <v>25.73</v>
      </c>
      <c r="C100">
        <v>0</v>
      </c>
      <c r="E100">
        <v>0</v>
      </c>
      <c r="F100">
        <v>25.73</v>
      </c>
      <c r="G100" t="s">
        <v>239</v>
      </c>
      <c r="H100" t="s">
        <v>37</v>
      </c>
    </row>
    <row r="101" hidden="1">
      <c r="A101" t="s">
        <v>240</v>
      </c>
      <c r="B101" s="2">
        <f>VLOOKUP(A101,PIPE!A:D,4,0)</f>
        <v>135.33000000000001</v>
      </c>
      <c r="C101">
        <v>0</v>
      </c>
      <c r="E101">
        <v>0</v>
      </c>
      <c r="F101">
        <v>135.33000000000001</v>
      </c>
      <c r="G101" t="s">
        <v>241</v>
      </c>
      <c r="H101" t="s">
        <v>31</v>
      </c>
    </row>
    <row r="102" hidden="1">
      <c r="A102" t="s">
        <v>242</v>
      </c>
      <c r="B102" s="2">
        <f>VLOOKUP(A102,PIPE!A:D,4,0)</f>
        <v>135.33000000000001</v>
      </c>
      <c r="C102">
        <v>0</v>
      </c>
      <c r="E102">
        <v>0</v>
      </c>
      <c r="F102">
        <v>135.33000000000001</v>
      </c>
      <c r="G102" t="s">
        <v>243</v>
      </c>
      <c r="H102" t="s">
        <v>52</v>
      </c>
    </row>
    <row r="103">
      <c r="A103" t="s">
        <v>244</v>
      </c>
      <c r="B103" s="2">
        <f>VLOOKUP(A103,PIPE!A:D,4,0)</f>
        <v>25.73</v>
      </c>
      <c r="C103">
        <v>1</v>
      </c>
      <c r="D103">
        <v>42</v>
      </c>
      <c r="E103">
        <v>0</v>
      </c>
      <c r="F103">
        <v>25.73</v>
      </c>
      <c r="G103" t="s">
        <v>245</v>
      </c>
      <c r="H103" t="s">
        <v>43</v>
      </c>
      <c r="I103">
        <v>151.59614872061721</v>
      </c>
      <c r="K103">
        <v>149.5061487206172</v>
      </c>
      <c r="L103">
        <v>149.5061487206172</v>
      </c>
      <c r="M103">
        <v>38.897363595852113</v>
      </c>
      <c r="O103">
        <v>32</v>
      </c>
      <c r="Q103">
        <v>0</v>
      </c>
      <c r="S103">
        <v>2035</v>
      </c>
      <c r="T103">
        <v>98.422962059999989</v>
      </c>
      <c r="W103">
        <v>0</v>
      </c>
      <c r="Z103">
        <v>0</v>
      </c>
      <c r="AA103">
        <v>135.76400000000001</v>
      </c>
      <c r="AB103">
        <v>131.3300000000001</v>
      </c>
      <c r="AC103">
        <v>83.130979320282151</v>
      </c>
      <c r="AD103">
        <v>73.417372468273314</v>
      </c>
    </row>
    <row r="104" hidden="1">
      <c r="A104" t="s">
        <v>246</v>
      </c>
      <c r="B104" s="2">
        <f>VLOOKUP(A104,PIPE!A:D,4,0)</f>
        <v>161.78999999999999</v>
      </c>
      <c r="C104">
        <v>0</v>
      </c>
      <c r="E104">
        <v>0</v>
      </c>
      <c r="F104">
        <v>161.78999999999999</v>
      </c>
      <c r="G104" t="s">
        <v>247</v>
      </c>
      <c r="H104" t="s">
        <v>46</v>
      </c>
    </row>
    <row r="105" hidden="1">
      <c r="A105" t="s">
        <v>248</v>
      </c>
      <c r="B105" s="2">
        <f>VLOOKUP(A105,PIPE!A:D,4,0)</f>
        <v>192.08000000000001</v>
      </c>
      <c r="C105">
        <v>0</v>
      </c>
      <c r="E105">
        <v>0</v>
      </c>
      <c r="F105">
        <v>192.08000000000001</v>
      </c>
      <c r="G105" t="s">
        <v>249</v>
      </c>
      <c r="H105" t="s">
        <v>46</v>
      </c>
    </row>
    <row r="106" hidden="1">
      <c r="A106" t="s">
        <v>250</v>
      </c>
      <c r="B106" s="2">
        <f>VLOOKUP(A106,PIPE!A:D,4,0)</f>
        <v>24.609999999999999</v>
      </c>
      <c r="C106">
        <v>0</v>
      </c>
      <c r="E106">
        <v>0</v>
      </c>
      <c r="F106">
        <v>24.609999999999999</v>
      </c>
      <c r="G106" t="s">
        <v>251</v>
      </c>
      <c r="H106" t="s">
        <v>37</v>
      </c>
    </row>
    <row r="107" hidden="1">
      <c r="A107" t="s">
        <v>252</v>
      </c>
      <c r="B107" s="2">
        <f>VLOOKUP(A107,PIPE!A:D,4,0)</f>
        <v>25.420000000000002</v>
      </c>
      <c r="C107">
        <v>0</v>
      </c>
      <c r="E107">
        <v>0</v>
      </c>
      <c r="F107">
        <v>25.420000000000002</v>
      </c>
      <c r="G107" t="s">
        <v>253</v>
      </c>
      <c r="H107" t="s">
        <v>37</v>
      </c>
    </row>
    <row r="108" hidden="1">
      <c r="A108" t="s">
        <v>254</v>
      </c>
      <c r="B108" s="2">
        <f>VLOOKUP(A108,PIPE!A:D,4,0)</f>
        <v>192.08000000000001</v>
      </c>
      <c r="C108">
        <v>0</v>
      </c>
      <c r="E108">
        <v>0</v>
      </c>
      <c r="F108">
        <v>192.08000000000001</v>
      </c>
      <c r="G108" t="s">
        <v>255</v>
      </c>
      <c r="H108" t="s">
        <v>46</v>
      </c>
    </row>
    <row r="109" hidden="1">
      <c r="A109" t="s">
        <v>256</v>
      </c>
      <c r="B109" s="2">
        <f>VLOOKUP(A109,PIPE!A:D,4,0)</f>
        <v>161.78999999999999</v>
      </c>
      <c r="C109">
        <v>0</v>
      </c>
      <c r="E109">
        <v>0</v>
      </c>
      <c r="F109">
        <v>161.78999999999999</v>
      </c>
      <c r="G109" t="s">
        <v>257</v>
      </c>
      <c r="H109" t="s">
        <v>46</v>
      </c>
    </row>
  </sheetData>
  <autoFilter ref="A1:AD109">
    <filterColumn colId="2">
      <filters>
        <filter val="1"/>
      </filters>
    </filterColumn>
  </autoFilter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16.421875"/>
    <col customWidth="1" min="2" max="3" width="9.140625"/>
    <col bestFit="1" customWidth="1" min="4" max="4" width="14.00390625"/>
  </cols>
  <sheetData>
    <row r="1" ht="14.25">
      <c r="A1" s="3" t="s">
        <v>294</v>
      </c>
      <c r="B1" s="3" t="s">
        <v>295</v>
      </c>
      <c r="C1" s="3" t="s">
        <v>296</v>
      </c>
      <c r="D1" s="3" t="s">
        <v>297</v>
      </c>
    </row>
    <row r="2" ht="14.25">
      <c r="A2" s="4" t="s">
        <v>128</v>
      </c>
      <c r="B2" s="4" t="s">
        <v>129</v>
      </c>
      <c r="C2" s="4" t="s">
        <v>127</v>
      </c>
      <c r="D2" s="4">
        <v>423.45999999999998</v>
      </c>
    </row>
    <row r="3" ht="14.25">
      <c r="A3" s="4" t="s">
        <v>125</v>
      </c>
      <c r="B3" s="4" t="s">
        <v>126</v>
      </c>
      <c r="C3" s="4" t="s">
        <v>127</v>
      </c>
      <c r="D3" s="4">
        <v>423.45999999999998</v>
      </c>
    </row>
    <row r="4" ht="14.25">
      <c r="A4" s="4" t="s">
        <v>35</v>
      </c>
      <c r="B4" s="4" t="s">
        <v>36</v>
      </c>
      <c r="C4" s="4" t="s">
        <v>37</v>
      </c>
      <c r="D4" s="4">
        <v>491.30000000000001</v>
      </c>
    </row>
    <row r="5" ht="14.25">
      <c r="A5" s="4" t="s">
        <v>222</v>
      </c>
      <c r="B5" s="4" t="s">
        <v>223</v>
      </c>
      <c r="C5" s="4" t="s">
        <v>43</v>
      </c>
      <c r="D5" s="4">
        <v>491.30000000000001</v>
      </c>
    </row>
    <row r="6" ht="14.25">
      <c r="A6" s="4" t="s">
        <v>63</v>
      </c>
      <c r="B6" s="4" t="s">
        <v>64</v>
      </c>
      <c r="C6" s="4" t="s">
        <v>65</v>
      </c>
      <c r="D6" s="4">
        <v>448.82999999999998</v>
      </c>
    </row>
    <row r="7" ht="14.25">
      <c r="A7" s="4" t="s">
        <v>146</v>
      </c>
      <c r="B7" s="4" t="s">
        <v>147</v>
      </c>
      <c r="C7" s="4" t="s">
        <v>89</v>
      </c>
      <c r="D7" s="4">
        <v>448.82999999999998</v>
      </c>
    </row>
    <row r="8" ht="14.25">
      <c r="A8" s="4" t="s">
        <v>74</v>
      </c>
      <c r="B8" s="4" t="s">
        <v>75</v>
      </c>
      <c r="C8" s="4" t="s">
        <v>65</v>
      </c>
      <c r="D8" s="4">
        <v>68.849999999999994</v>
      </c>
    </row>
    <row r="9" ht="14.25">
      <c r="A9" s="4" t="s">
        <v>136</v>
      </c>
      <c r="B9" s="4" t="s">
        <v>137</v>
      </c>
      <c r="C9" s="4" t="s">
        <v>89</v>
      </c>
      <c r="D9" s="4">
        <v>68.849999999999994</v>
      </c>
    </row>
    <row r="10" ht="14.25">
      <c r="A10" s="4" t="s">
        <v>216</v>
      </c>
      <c r="B10" s="4" t="s">
        <v>217</v>
      </c>
      <c r="C10" s="4" t="s">
        <v>65</v>
      </c>
      <c r="D10" s="4">
        <v>151.34999999999999</v>
      </c>
    </row>
    <row r="11" ht="14.25">
      <c r="A11" s="4" t="s">
        <v>148</v>
      </c>
      <c r="B11" s="4" t="s">
        <v>149</v>
      </c>
      <c r="C11" s="4" t="s">
        <v>89</v>
      </c>
      <c r="D11" s="4">
        <v>151.34999999999999</v>
      </c>
    </row>
    <row r="12" ht="14.25">
      <c r="A12" s="4" t="s">
        <v>113</v>
      </c>
      <c r="B12" s="4" t="s">
        <v>114</v>
      </c>
      <c r="C12" s="4" t="s">
        <v>40</v>
      </c>
      <c r="D12" s="4">
        <v>80.230000000000004</v>
      </c>
    </row>
    <row r="13" ht="14.25">
      <c r="A13" s="4" t="s">
        <v>162</v>
      </c>
      <c r="B13" s="4" t="s">
        <v>163</v>
      </c>
      <c r="C13" s="4" t="s">
        <v>49</v>
      </c>
      <c r="D13" s="4">
        <v>80.230000000000004</v>
      </c>
    </row>
    <row r="14" ht="14.25">
      <c r="A14" s="4" t="s">
        <v>178</v>
      </c>
      <c r="B14" s="4" t="s">
        <v>179</v>
      </c>
      <c r="C14" s="4" t="s">
        <v>65</v>
      </c>
      <c r="D14" s="4">
        <v>518.05999999999995</v>
      </c>
    </row>
    <row r="15" ht="14.25">
      <c r="A15" s="4" t="s">
        <v>115</v>
      </c>
      <c r="B15" s="4" t="s">
        <v>116</v>
      </c>
      <c r="C15" s="4" t="s">
        <v>89</v>
      </c>
      <c r="D15" s="4">
        <v>518.05999999999995</v>
      </c>
    </row>
    <row r="16" ht="14.25">
      <c r="A16" s="4" t="s">
        <v>38</v>
      </c>
      <c r="B16" s="4" t="s">
        <v>39</v>
      </c>
      <c r="C16" s="4" t="s">
        <v>40</v>
      </c>
      <c r="D16" s="4">
        <v>484.77999999999997</v>
      </c>
    </row>
    <row r="17" ht="14.25">
      <c r="A17" s="4" t="s">
        <v>47</v>
      </c>
      <c r="B17" s="4" t="s">
        <v>48</v>
      </c>
      <c r="C17" s="4" t="s">
        <v>49</v>
      </c>
      <c r="D17" s="4">
        <v>484.77999999999997</v>
      </c>
    </row>
    <row r="18" ht="14.25">
      <c r="A18" s="4" t="s">
        <v>228</v>
      </c>
      <c r="B18" s="4" t="s">
        <v>229</v>
      </c>
      <c r="C18" s="4" t="s">
        <v>40</v>
      </c>
      <c r="D18" s="4">
        <v>141.72999999999999</v>
      </c>
    </row>
    <row r="19" ht="14.25">
      <c r="A19" s="4" t="s">
        <v>55</v>
      </c>
      <c r="B19" s="4" t="s">
        <v>56</v>
      </c>
      <c r="C19" s="4" t="s">
        <v>49</v>
      </c>
      <c r="D19" s="4">
        <v>141.72999999999999</v>
      </c>
    </row>
    <row r="20" ht="14.25">
      <c r="A20" s="4" t="s">
        <v>250</v>
      </c>
      <c r="B20" s="4" t="s">
        <v>251</v>
      </c>
      <c r="C20" s="4" t="s">
        <v>37</v>
      </c>
      <c r="D20" s="4">
        <v>24.609999999999999</v>
      </c>
    </row>
    <row r="21" ht="14.25">
      <c r="A21" s="4" t="s">
        <v>234</v>
      </c>
      <c r="B21" s="4" t="s">
        <v>235</v>
      </c>
      <c r="C21" s="4" t="s">
        <v>43</v>
      </c>
      <c r="D21" s="4">
        <v>24.609999999999999</v>
      </c>
    </row>
    <row r="22" ht="14.25">
      <c r="A22" s="4" t="s">
        <v>180</v>
      </c>
      <c r="B22" s="4" t="s">
        <v>181</v>
      </c>
      <c r="C22" s="4" t="s">
        <v>78</v>
      </c>
      <c r="D22" s="4">
        <v>343.97000000000003</v>
      </c>
    </row>
    <row r="23" ht="14.25">
      <c r="A23" s="4" t="s">
        <v>172</v>
      </c>
      <c r="B23" s="4" t="s">
        <v>173</v>
      </c>
      <c r="C23" s="4" t="s">
        <v>78</v>
      </c>
      <c r="D23" s="4">
        <v>343.97000000000003</v>
      </c>
    </row>
    <row r="24" ht="14.25">
      <c r="A24" s="4" t="s">
        <v>117</v>
      </c>
      <c r="B24" s="4" t="s">
        <v>118</v>
      </c>
      <c r="C24" s="4" t="s">
        <v>40</v>
      </c>
      <c r="D24" s="4">
        <v>222.05000000000001</v>
      </c>
    </row>
    <row r="25" ht="14.25">
      <c r="A25" s="4" t="s">
        <v>230</v>
      </c>
      <c r="B25" s="4" t="s">
        <v>231</v>
      </c>
      <c r="C25" s="4" t="s">
        <v>49</v>
      </c>
      <c r="D25" s="4">
        <v>222.05000000000001</v>
      </c>
    </row>
    <row r="26" ht="14.25">
      <c r="A26" s="4" t="s">
        <v>119</v>
      </c>
      <c r="B26" s="4" t="s">
        <v>120</v>
      </c>
      <c r="C26" s="4" t="s">
        <v>31</v>
      </c>
      <c r="D26" s="4">
        <v>555.74000000000001</v>
      </c>
    </row>
    <row r="27" ht="14.25">
      <c r="A27" s="4" t="s">
        <v>81</v>
      </c>
      <c r="B27" s="4" t="s">
        <v>82</v>
      </c>
      <c r="C27" s="4" t="s">
        <v>52</v>
      </c>
      <c r="D27" s="4">
        <v>555.74000000000001</v>
      </c>
    </row>
    <row r="28" ht="14.25">
      <c r="A28" s="4" t="s">
        <v>130</v>
      </c>
      <c r="B28" s="4" t="s">
        <v>131</v>
      </c>
      <c r="C28" s="4" t="s">
        <v>31</v>
      </c>
      <c r="D28" s="4">
        <v>336.49000000000001</v>
      </c>
    </row>
    <row r="29" ht="14.25">
      <c r="A29" s="4" t="s">
        <v>218</v>
      </c>
      <c r="B29" s="4" t="s">
        <v>219</v>
      </c>
      <c r="C29" s="4" t="s">
        <v>52</v>
      </c>
      <c r="D29" s="4">
        <v>336.49000000000001</v>
      </c>
    </row>
    <row r="30" ht="14.25">
      <c r="A30" s="4" t="s">
        <v>240</v>
      </c>
      <c r="B30" s="4" t="s">
        <v>241</v>
      </c>
      <c r="C30" s="4" t="s">
        <v>31</v>
      </c>
      <c r="D30" s="4">
        <v>135.33000000000001</v>
      </c>
    </row>
    <row r="31" ht="14.25">
      <c r="A31" s="4" t="s">
        <v>242</v>
      </c>
      <c r="B31" s="4" t="s">
        <v>243</v>
      </c>
      <c r="C31" s="4" t="s">
        <v>52</v>
      </c>
      <c r="D31" s="4">
        <v>135.33000000000001</v>
      </c>
    </row>
    <row r="32" ht="14.25">
      <c r="A32" s="4" t="s">
        <v>85</v>
      </c>
      <c r="B32" s="4" t="s">
        <v>86</v>
      </c>
      <c r="C32" s="4" t="s">
        <v>40</v>
      </c>
      <c r="D32" s="4">
        <v>130.69999999999999</v>
      </c>
    </row>
    <row r="33" ht="14.25">
      <c r="A33" s="4" t="s">
        <v>176</v>
      </c>
      <c r="B33" s="4" t="s">
        <v>177</v>
      </c>
      <c r="C33" s="4" t="s">
        <v>49</v>
      </c>
      <c r="D33" s="4">
        <v>130.69999999999999</v>
      </c>
    </row>
    <row r="34" ht="14.25">
      <c r="A34" s="4" t="s">
        <v>252</v>
      </c>
      <c r="B34" s="4" t="s">
        <v>253</v>
      </c>
      <c r="C34" s="4" t="s">
        <v>37</v>
      </c>
      <c r="D34" s="4">
        <v>25.420000000000002</v>
      </c>
    </row>
    <row r="35" ht="14.25">
      <c r="A35" s="4" t="s">
        <v>236</v>
      </c>
      <c r="B35" s="4" t="s">
        <v>237</v>
      </c>
      <c r="C35" s="4" t="s">
        <v>43</v>
      </c>
      <c r="D35" s="4">
        <v>25.420000000000002</v>
      </c>
    </row>
    <row r="36" ht="14.25">
      <c r="A36" s="4" t="s">
        <v>182</v>
      </c>
      <c r="B36" s="4" t="s">
        <v>183</v>
      </c>
      <c r="C36" s="4" t="s">
        <v>40</v>
      </c>
      <c r="D36" s="4">
        <v>179.47</v>
      </c>
    </row>
    <row r="37" ht="14.25">
      <c r="A37" s="4" t="s">
        <v>190</v>
      </c>
      <c r="B37" s="4" t="s">
        <v>191</v>
      </c>
      <c r="C37" s="4" t="s">
        <v>49</v>
      </c>
      <c r="D37" s="4">
        <v>179.47</v>
      </c>
    </row>
    <row r="38" ht="14.25">
      <c r="A38" s="4" t="s">
        <v>29</v>
      </c>
      <c r="B38" s="4" t="s">
        <v>30</v>
      </c>
      <c r="C38" s="4" t="s">
        <v>31</v>
      </c>
      <c r="D38" s="4">
        <v>297.07999999999998</v>
      </c>
    </row>
    <row r="39" ht="14.25">
      <c r="A39" s="4" t="s">
        <v>50</v>
      </c>
      <c r="B39" s="4" t="s">
        <v>51</v>
      </c>
      <c r="C39" s="4" t="s">
        <v>52</v>
      </c>
      <c r="D39" s="4">
        <v>297.07999999999998</v>
      </c>
    </row>
    <row r="40" ht="14.25">
      <c r="A40" s="4" t="s">
        <v>132</v>
      </c>
      <c r="B40" s="4" t="s">
        <v>133</v>
      </c>
      <c r="C40" s="4" t="s">
        <v>78</v>
      </c>
      <c r="D40" s="4">
        <v>263.91000000000003</v>
      </c>
    </row>
    <row r="41" ht="14.25">
      <c r="A41" s="4" t="s">
        <v>107</v>
      </c>
      <c r="B41" s="4" t="s">
        <v>108</v>
      </c>
      <c r="C41" s="4" t="s">
        <v>78</v>
      </c>
      <c r="D41" s="4">
        <v>263.91000000000003</v>
      </c>
    </row>
    <row r="42" ht="14.25">
      <c r="A42" s="4" t="s">
        <v>53</v>
      </c>
      <c r="B42" s="4" t="s">
        <v>54</v>
      </c>
      <c r="C42" s="4" t="s">
        <v>46</v>
      </c>
      <c r="D42" s="4">
        <v>496.16000000000003</v>
      </c>
    </row>
    <row r="43" ht="14.25">
      <c r="A43" s="4" t="s">
        <v>79</v>
      </c>
      <c r="B43" s="4" t="s">
        <v>80</v>
      </c>
      <c r="C43" s="4" t="s">
        <v>46</v>
      </c>
      <c r="D43" s="4">
        <v>496.16000000000003</v>
      </c>
    </row>
    <row r="44" ht="14.25">
      <c r="A44" s="4" t="s">
        <v>105</v>
      </c>
      <c r="B44" s="4" t="s">
        <v>106</v>
      </c>
      <c r="C44" s="4" t="s">
        <v>65</v>
      </c>
      <c r="D44" s="4">
        <v>78.120000000000005</v>
      </c>
    </row>
    <row r="45" ht="14.25">
      <c r="A45" s="4" t="s">
        <v>214</v>
      </c>
      <c r="B45" s="4" t="s">
        <v>215</v>
      </c>
      <c r="C45" s="4" t="s">
        <v>89</v>
      </c>
      <c r="D45" s="4">
        <v>78.120000000000005</v>
      </c>
    </row>
    <row r="46" ht="14.25">
      <c r="A46" s="4" t="s">
        <v>134</v>
      </c>
      <c r="B46" s="4" t="s">
        <v>135</v>
      </c>
      <c r="C46" s="4" t="s">
        <v>40</v>
      </c>
      <c r="D46" s="4">
        <v>243.08000000000001</v>
      </c>
    </row>
    <row r="47" ht="14.25">
      <c r="A47" s="4" t="s">
        <v>83</v>
      </c>
      <c r="B47" s="4" t="s">
        <v>84</v>
      </c>
      <c r="C47" s="4" t="s">
        <v>49</v>
      </c>
      <c r="D47" s="4">
        <v>243.08000000000001</v>
      </c>
    </row>
    <row r="48" ht="14.25">
      <c r="A48" s="4" t="s">
        <v>164</v>
      </c>
      <c r="B48" s="4" t="s">
        <v>165</v>
      </c>
      <c r="C48" s="4" t="s">
        <v>40</v>
      </c>
      <c r="D48" s="4">
        <v>228.47999999999999</v>
      </c>
    </row>
    <row r="49" ht="14.25">
      <c r="A49" s="4" t="s">
        <v>144</v>
      </c>
      <c r="B49" s="4" t="s">
        <v>145</v>
      </c>
      <c r="C49" s="4" t="s">
        <v>49</v>
      </c>
      <c r="D49" s="4">
        <v>228.47999999999999</v>
      </c>
    </row>
    <row r="50" ht="14.25">
      <c r="A50" s="4" t="s">
        <v>138</v>
      </c>
      <c r="B50" s="4" t="s">
        <v>139</v>
      </c>
      <c r="C50" s="4" t="s">
        <v>34</v>
      </c>
      <c r="D50" s="4">
        <v>345.18000000000001</v>
      </c>
    </row>
    <row r="51" ht="14.25">
      <c r="A51" s="4" t="s">
        <v>96</v>
      </c>
      <c r="B51" s="4" t="s">
        <v>97</v>
      </c>
      <c r="C51" s="4" t="s">
        <v>98</v>
      </c>
      <c r="D51" s="4">
        <v>345.18000000000001</v>
      </c>
    </row>
    <row r="52" ht="14.25">
      <c r="A52" s="4" t="s">
        <v>168</v>
      </c>
      <c r="B52" s="4" t="s">
        <v>169</v>
      </c>
      <c r="C52" s="4" t="s">
        <v>46</v>
      </c>
      <c r="D52" s="4">
        <v>553.72000000000003</v>
      </c>
    </row>
    <row r="53" ht="14.25">
      <c r="A53" s="4" t="s">
        <v>61</v>
      </c>
      <c r="B53" s="4" t="s">
        <v>62</v>
      </c>
      <c r="C53" s="4" t="s">
        <v>46</v>
      </c>
      <c r="D53" s="4">
        <v>553.72000000000003</v>
      </c>
    </row>
    <row r="54" ht="14.25">
      <c r="A54" s="4" t="s">
        <v>160</v>
      </c>
      <c r="B54" s="4" t="s">
        <v>161</v>
      </c>
      <c r="C54" s="4" t="s">
        <v>40</v>
      </c>
      <c r="D54" s="4">
        <v>325.82999999999998</v>
      </c>
    </row>
    <row r="55" ht="14.25">
      <c r="A55" s="4" t="s">
        <v>186</v>
      </c>
      <c r="B55" s="4" t="s">
        <v>187</v>
      </c>
      <c r="C55" s="4" t="s">
        <v>49</v>
      </c>
      <c r="D55" s="4">
        <v>325.82999999999998</v>
      </c>
    </row>
    <row r="56" ht="14.25">
      <c r="A56" s="4" t="s">
        <v>150</v>
      </c>
      <c r="B56" s="4" t="s">
        <v>151</v>
      </c>
      <c r="C56" s="4" t="s">
        <v>34</v>
      </c>
      <c r="D56" s="4">
        <v>347.61000000000001</v>
      </c>
    </row>
    <row r="57" ht="14.25">
      <c r="A57" s="4" t="s">
        <v>121</v>
      </c>
      <c r="B57" s="4" t="s">
        <v>122</v>
      </c>
      <c r="C57" s="4" t="s">
        <v>98</v>
      </c>
      <c r="D57" s="4">
        <v>347.61000000000001</v>
      </c>
    </row>
    <row r="58" ht="14.25">
      <c r="A58" s="4" t="s">
        <v>76</v>
      </c>
      <c r="B58" s="4" t="s">
        <v>77</v>
      </c>
      <c r="C58" s="4" t="s">
        <v>78</v>
      </c>
      <c r="D58" s="4">
        <v>326.42000000000002</v>
      </c>
    </row>
    <row r="59" ht="14.25">
      <c r="A59" s="4" t="s">
        <v>156</v>
      </c>
      <c r="B59" s="4" t="s">
        <v>157</v>
      </c>
      <c r="C59" s="4" t="s">
        <v>78</v>
      </c>
      <c r="D59" s="4">
        <v>326.42000000000002</v>
      </c>
    </row>
    <row r="60" ht="14.25">
      <c r="A60" s="4" t="s">
        <v>111</v>
      </c>
      <c r="B60" s="4" t="s">
        <v>112</v>
      </c>
      <c r="C60" s="4" t="s">
        <v>40</v>
      </c>
      <c r="D60" s="4">
        <v>100.59999999999999</v>
      </c>
    </row>
    <row r="61" ht="14.25">
      <c r="A61" s="4" t="s">
        <v>103</v>
      </c>
      <c r="B61" s="4" t="s">
        <v>104</v>
      </c>
      <c r="C61" s="4" t="s">
        <v>49</v>
      </c>
      <c r="D61" s="4">
        <v>100.59999999999999</v>
      </c>
    </row>
    <row r="62" ht="14.25">
      <c r="A62" s="4" t="s">
        <v>99</v>
      </c>
      <c r="B62" s="4" t="s">
        <v>100</v>
      </c>
      <c r="C62" s="4" t="s">
        <v>46</v>
      </c>
      <c r="D62" s="4">
        <v>370.19</v>
      </c>
    </row>
    <row r="63" ht="14.25">
      <c r="A63" s="4" t="s">
        <v>224</v>
      </c>
      <c r="B63" s="4" t="s">
        <v>225</v>
      </c>
      <c r="C63" s="4" t="s">
        <v>46</v>
      </c>
      <c r="D63" s="4">
        <v>370.19</v>
      </c>
    </row>
    <row r="64" ht="14.25">
      <c r="A64" s="4" t="s">
        <v>166</v>
      </c>
      <c r="B64" s="4" t="s">
        <v>167</v>
      </c>
      <c r="C64" s="4" t="s">
        <v>40</v>
      </c>
      <c r="D64" s="4">
        <v>348.87</v>
      </c>
    </row>
    <row r="65" ht="14.25">
      <c r="A65" s="4" t="s">
        <v>154</v>
      </c>
      <c r="B65" s="4" t="s">
        <v>155</v>
      </c>
      <c r="C65" s="4" t="s">
        <v>49</v>
      </c>
      <c r="D65" s="4">
        <v>348.87</v>
      </c>
    </row>
    <row r="66" ht="14.25">
      <c r="A66" s="4" t="s">
        <v>256</v>
      </c>
      <c r="B66" s="4" t="s">
        <v>257</v>
      </c>
      <c r="C66" s="4" t="s">
        <v>46</v>
      </c>
      <c r="D66" s="4">
        <v>161.78999999999999</v>
      </c>
    </row>
    <row r="67" ht="14.25">
      <c r="A67" s="4" t="s">
        <v>246</v>
      </c>
      <c r="B67" s="4" t="s">
        <v>247</v>
      </c>
      <c r="C67" s="4" t="s">
        <v>46</v>
      </c>
      <c r="D67" s="4">
        <v>161.78999999999999</v>
      </c>
    </row>
    <row r="68" ht="14.25">
      <c r="A68" s="4" t="s">
        <v>123</v>
      </c>
      <c r="B68" s="4" t="s">
        <v>124</v>
      </c>
      <c r="C68" s="4" t="s">
        <v>31</v>
      </c>
      <c r="D68" s="4">
        <v>562.63</v>
      </c>
    </row>
    <row r="69" ht="14.25">
      <c r="A69" s="4" t="s">
        <v>142</v>
      </c>
      <c r="B69" s="4" t="s">
        <v>143</v>
      </c>
      <c r="C69" s="4" t="s">
        <v>52</v>
      </c>
      <c r="D69" s="4">
        <v>562.63</v>
      </c>
    </row>
    <row r="70" ht="14.25">
      <c r="A70" s="4" t="s">
        <v>66</v>
      </c>
      <c r="B70" s="4" t="s">
        <v>67</v>
      </c>
      <c r="C70" s="4" t="s">
        <v>31</v>
      </c>
      <c r="D70" s="4">
        <v>302.06</v>
      </c>
    </row>
    <row r="71" ht="14.25">
      <c r="A71" s="4" t="s">
        <v>140</v>
      </c>
      <c r="B71" s="4" t="s">
        <v>141</v>
      </c>
      <c r="C71" s="4" t="s">
        <v>52</v>
      </c>
      <c r="D71" s="4">
        <v>302.06</v>
      </c>
    </row>
    <row r="72" ht="14.25">
      <c r="A72" s="4" t="s">
        <v>70</v>
      </c>
      <c r="B72" s="4" t="s">
        <v>71</v>
      </c>
      <c r="C72" s="4" t="s">
        <v>46</v>
      </c>
      <c r="D72" s="4">
        <v>561.50999999999999</v>
      </c>
    </row>
    <row r="73" ht="14.25">
      <c r="A73" s="4" t="s">
        <v>202</v>
      </c>
      <c r="B73" s="4" t="s">
        <v>203</v>
      </c>
      <c r="C73" s="4" t="s">
        <v>46</v>
      </c>
      <c r="D73" s="4">
        <v>561.50999999999999</v>
      </c>
    </row>
    <row r="74" ht="14.25">
      <c r="A74" s="4" t="s">
        <v>192</v>
      </c>
      <c r="B74" s="4" t="s">
        <v>193</v>
      </c>
      <c r="C74" s="4" t="s">
        <v>65</v>
      </c>
      <c r="D74" s="4">
        <v>463.39999999999998</v>
      </c>
    </row>
    <row r="75" ht="14.25">
      <c r="A75" s="4" t="s">
        <v>188</v>
      </c>
      <c r="B75" s="4" t="s">
        <v>189</v>
      </c>
      <c r="C75" s="4" t="s">
        <v>89</v>
      </c>
      <c r="D75" s="4">
        <v>463.39999999999998</v>
      </c>
    </row>
    <row r="76" ht="14.25">
      <c r="A76" s="4" t="s">
        <v>238</v>
      </c>
      <c r="B76" s="4" t="s">
        <v>239</v>
      </c>
      <c r="C76" s="4" t="s">
        <v>37</v>
      </c>
      <c r="D76" s="4">
        <v>25.73</v>
      </c>
    </row>
    <row r="77" ht="14.25">
      <c r="A77" s="4" t="s">
        <v>244</v>
      </c>
      <c r="B77" s="4" t="s">
        <v>245</v>
      </c>
      <c r="C77" s="4" t="s">
        <v>43</v>
      </c>
      <c r="D77" s="4">
        <v>25.73</v>
      </c>
    </row>
    <row r="78" ht="14.25">
      <c r="A78" s="4" t="s">
        <v>68</v>
      </c>
      <c r="B78" s="4" t="s">
        <v>69</v>
      </c>
      <c r="C78" s="4" t="s">
        <v>65</v>
      </c>
      <c r="D78" s="4">
        <v>371.42000000000002</v>
      </c>
    </row>
    <row r="79" ht="14.25">
      <c r="A79" s="4" t="s">
        <v>87</v>
      </c>
      <c r="B79" s="4" t="s">
        <v>88</v>
      </c>
      <c r="C79" s="4" t="s">
        <v>89</v>
      </c>
      <c r="D79" s="4">
        <v>371.42000000000002</v>
      </c>
    </row>
    <row r="80" ht="14.25">
      <c r="A80" s="4" t="s">
        <v>198</v>
      </c>
      <c r="B80" s="4" t="s">
        <v>199</v>
      </c>
      <c r="C80" s="4" t="s">
        <v>34</v>
      </c>
      <c r="D80" s="4">
        <v>45.280000000000001</v>
      </c>
    </row>
    <row r="81" ht="14.25">
      <c r="A81" s="4" t="s">
        <v>170</v>
      </c>
      <c r="B81" s="4" t="s">
        <v>171</v>
      </c>
      <c r="C81" s="4" t="s">
        <v>98</v>
      </c>
      <c r="D81" s="4">
        <v>45.280000000000001</v>
      </c>
    </row>
    <row r="82" ht="14.25">
      <c r="A82" s="4" t="s">
        <v>72</v>
      </c>
      <c r="B82" s="4" t="s">
        <v>73</v>
      </c>
      <c r="C82" s="4" t="s">
        <v>46</v>
      </c>
      <c r="D82" s="4">
        <v>263.82999999999998</v>
      </c>
    </row>
    <row r="83" ht="14.25">
      <c r="A83" s="4" t="s">
        <v>44</v>
      </c>
      <c r="B83" s="4" t="s">
        <v>45</v>
      </c>
      <c r="C83" s="4" t="s">
        <v>46</v>
      </c>
      <c r="D83" s="4">
        <v>263.82999999999998</v>
      </c>
    </row>
    <row r="84" ht="14.25">
      <c r="A84" s="4" t="s">
        <v>196</v>
      </c>
      <c r="B84" s="4" t="s">
        <v>197</v>
      </c>
      <c r="C84" s="4" t="s">
        <v>37</v>
      </c>
      <c r="D84" s="4">
        <v>166.22999999999999</v>
      </c>
    </row>
    <row r="85" ht="14.25">
      <c r="A85" s="4" t="s">
        <v>41</v>
      </c>
      <c r="B85" s="4" t="s">
        <v>42</v>
      </c>
      <c r="C85" s="4" t="s">
        <v>43</v>
      </c>
      <c r="D85" s="4">
        <v>166.22999999999999</v>
      </c>
    </row>
    <row r="86" ht="14.25">
      <c r="A86" s="4" t="s">
        <v>232</v>
      </c>
      <c r="B86" s="4" t="s">
        <v>233</v>
      </c>
      <c r="C86" s="4" t="s">
        <v>34</v>
      </c>
      <c r="D86" s="4">
        <v>189.66</v>
      </c>
    </row>
    <row r="87" ht="14.25">
      <c r="A87" s="4" t="s">
        <v>212</v>
      </c>
      <c r="B87" s="4" t="s">
        <v>213</v>
      </c>
      <c r="C87" s="4" t="s">
        <v>98</v>
      </c>
      <c r="D87" s="4">
        <v>189.66</v>
      </c>
    </row>
    <row r="88" ht="14.25">
      <c r="A88" s="4" t="s">
        <v>226</v>
      </c>
      <c r="B88" s="4" t="s">
        <v>227</v>
      </c>
      <c r="C88" s="4" t="s">
        <v>40</v>
      </c>
      <c r="D88" s="4">
        <v>356.04000000000002</v>
      </c>
    </row>
    <row r="89" ht="14.25">
      <c r="A89" s="4" t="s">
        <v>174</v>
      </c>
      <c r="B89" s="4" t="s">
        <v>175</v>
      </c>
      <c r="C89" s="4" t="s">
        <v>49</v>
      </c>
      <c r="D89" s="4">
        <v>356.04000000000002</v>
      </c>
    </row>
    <row r="90" ht="14.25">
      <c r="A90" s="4" t="s">
        <v>32</v>
      </c>
      <c r="B90" s="4" t="s">
        <v>33</v>
      </c>
      <c r="C90" s="4" t="s">
        <v>34</v>
      </c>
      <c r="D90" s="4">
        <v>127.09999999999999</v>
      </c>
    </row>
    <row r="91" ht="14.25">
      <c r="A91" s="4" t="s">
        <v>208</v>
      </c>
      <c r="B91" s="4" t="s">
        <v>209</v>
      </c>
      <c r="C91" s="4" t="s">
        <v>98</v>
      </c>
      <c r="D91" s="4">
        <v>127.09999999999999</v>
      </c>
    </row>
    <row r="92" ht="14.25">
      <c r="A92" s="4" t="s">
        <v>101</v>
      </c>
      <c r="B92" s="4" t="s">
        <v>102</v>
      </c>
      <c r="C92" s="4" t="s">
        <v>40</v>
      </c>
      <c r="D92" s="4">
        <v>233.52000000000001</v>
      </c>
    </row>
    <row r="93" ht="14.25">
      <c r="A93" s="4" t="s">
        <v>210</v>
      </c>
      <c r="B93" s="4" t="s">
        <v>211</v>
      </c>
      <c r="C93" s="4" t="s">
        <v>49</v>
      </c>
      <c r="D93" s="4">
        <v>233.52000000000001</v>
      </c>
    </row>
    <row r="94" ht="14.25">
      <c r="A94" s="4" t="s">
        <v>90</v>
      </c>
      <c r="B94" s="4" t="s">
        <v>91</v>
      </c>
      <c r="C94" s="4" t="s">
        <v>40</v>
      </c>
      <c r="D94" s="4">
        <v>147.41</v>
      </c>
    </row>
    <row r="95" ht="14.25">
      <c r="A95" s="4" t="s">
        <v>158</v>
      </c>
      <c r="B95" s="4" t="s">
        <v>159</v>
      </c>
      <c r="C95" s="4" t="s">
        <v>49</v>
      </c>
      <c r="D95" s="4">
        <v>147.41</v>
      </c>
    </row>
    <row r="96" ht="14.25">
      <c r="A96" s="4" t="s">
        <v>220</v>
      </c>
      <c r="B96" s="4" t="s">
        <v>221</v>
      </c>
      <c r="C96" s="4" t="s">
        <v>46</v>
      </c>
      <c r="D96" s="4">
        <v>447.88999999999999</v>
      </c>
    </row>
    <row r="97" ht="14.25">
      <c r="A97" s="4" t="s">
        <v>200</v>
      </c>
      <c r="B97" s="4" t="s">
        <v>201</v>
      </c>
      <c r="C97" s="4" t="s">
        <v>46</v>
      </c>
      <c r="D97" s="4">
        <v>447.88999999999999</v>
      </c>
    </row>
    <row r="98" ht="14.25">
      <c r="A98" s="4" t="s">
        <v>152</v>
      </c>
      <c r="B98" s="4" t="s">
        <v>153</v>
      </c>
      <c r="C98" s="4" t="s">
        <v>40</v>
      </c>
      <c r="D98" s="4">
        <v>245.06</v>
      </c>
    </row>
    <row r="99" ht="14.25">
      <c r="A99" s="4" t="s">
        <v>94</v>
      </c>
      <c r="B99" s="4" t="s">
        <v>95</v>
      </c>
      <c r="C99" s="4" t="s">
        <v>49</v>
      </c>
      <c r="D99" s="4">
        <v>245.06</v>
      </c>
    </row>
    <row r="100" ht="14.25">
      <c r="A100" s="4" t="s">
        <v>184</v>
      </c>
      <c r="B100" s="4" t="s">
        <v>185</v>
      </c>
      <c r="C100" s="4" t="s">
        <v>78</v>
      </c>
      <c r="D100" s="4">
        <v>361.88</v>
      </c>
    </row>
    <row r="101" ht="14.25">
      <c r="A101" s="4" t="s">
        <v>109</v>
      </c>
      <c r="B101" s="4" t="s">
        <v>110</v>
      </c>
      <c r="C101" s="4" t="s">
        <v>78</v>
      </c>
      <c r="D101" s="4">
        <v>361.88</v>
      </c>
    </row>
    <row r="102" ht="14.25">
      <c r="A102" s="4" t="s">
        <v>206</v>
      </c>
      <c r="B102" s="4" t="s">
        <v>207</v>
      </c>
      <c r="C102" s="4" t="s">
        <v>31</v>
      </c>
      <c r="D102" s="4">
        <v>110.44</v>
      </c>
    </row>
    <row r="103" ht="14.25">
      <c r="A103" s="4" t="s">
        <v>59</v>
      </c>
      <c r="B103" s="4" t="s">
        <v>60</v>
      </c>
      <c r="C103" s="4" t="s">
        <v>52</v>
      </c>
      <c r="D103" s="4">
        <v>110.44</v>
      </c>
    </row>
    <row r="104" ht="14.25">
      <c r="A104" s="4" t="s">
        <v>92</v>
      </c>
      <c r="B104" s="4" t="s">
        <v>93</v>
      </c>
      <c r="C104" s="4" t="s">
        <v>40</v>
      </c>
      <c r="D104" s="4">
        <v>189.69</v>
      </c>
    </row>
    <row r="105" ht="14.25">
      <c r="A105" s="4" t="s">
        <v>194</v>
      </c>
      <c r="B105" s="4" t="s">
        <v>195</v>
      </c>
      <c r="C105" s="4" t="s">
        <v>49</v>
      </c>
      <c r="D105" s="4">
        <v>189.69</v>
      </c>
    </row>
    <row r="106" ht="14.25">
      <c r="A106" s="4" t="s">
        <v>57</v>
      </c>
      <c r="B106" s="4" t="s">
        <v>58</v>
      </c>
      <c r="C106" s="4" t="s">
        <v>40</v>
      </c>
      <c r="D106" s="4">
        <v>369.45999999999998</v>
      </c>
    </row>
    <row r="107" ht="14.25">
      <c r="A107" s="4" t="s">
        <v>204</v>
      </c>
      <c r="B107" s="4" t="s">
        <v>205</v>
      </c>
      <c r="C107" s="4" t="s">
        <v>49</v>
      </c>
      <c r="D107" s="4">
        <v>369.45999999999998</v>
      </c>
    </row>
    <row r="108" ht="14.25">
      <c r="A108" s="4" t="s">
        <v>254</v>
      </c>
      <c r="B108" s="4" t="s">
        <v>255</v>
      </c>
      <c r="C108" s="4" t="s">
        <v>46</v>
      </c>
      <c r="D108" s="4">
        <v>192.08000000000001</v>
      </c>
    </row>
    <row r="109" ht="14.25">
      <c r="A109" s="4" t="s">
        <v>248</v>
      </c>
      <c r="B109" s="4" t="s">
        <v>249</v>
      </c>
      <c r="C109" s="4" t="s">
        <v>46</v>
      </c>
      <c r="D109" s="4">
        <v>192.08000000000001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3654.2359999999999</v>
      </c>
      <c r="F3">
        <v>3522.9059999999999</v>
      </c>
      <c r="G3">
        <v>3439.7750206797182</v>
      </c>
      <c r="H3">
        <v>3366.357648211444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1995.3599999999999</v>
      </c>
      <c r="G4">
        <v>1887.97</v>
      </c>
      <c r="H4">
        <v>1777.1199999999999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4571.3699999999999</v>
      </c>
      <c r="E6">
        <v>4571.3699999999999</v>
      </c>
      <c r="F6">
        <v>4571.3699999999999</v>
      </c>
      <c r="G6">
        <v>4571.3699999999999</v>
      </c>
      <c r="H6">
        <v>4571.3699999999999</v>
      </c>
    </row>
    <row r="7">
      <c r="A7">
        <v>21</v>
      </c>
      <c r="B7">
        <v>1372.72</v>
      </c>
      <c r="C7">
        <v>1372.72</v>
      </c>
      <c r="D7">
        <v>1323.1700000000001</v>
      </c>
      <c r="E7">
        <v>1272.4400000000001</v>
      </c>
      <c r="F7">
        <v>1264.854</v>
      </c>
      <c r="G7">
        <v>1224.698979320282</v>
      </c>
      <c r="H7">
        <v>1188.268331108836</v>
      </c>
    </row>
    <row r="8">
      <c r="A8">
        <v>22</v>
      </c>
      <c r="B8">
        <v>2171.48</v>
      </c>
      <c r="C8">
        <v>2171.48</v>
      </c>
      <c r="D8">
        <v>2151.8420000000001</v>
      </c>
      <c r="E8">
        <v>2151.8420000000001</v>
      </c>
      <c r="F8">
        <v>2124.232</v>
      </c>
      <c r="G8">
        <v>2095.7220000000002</v>
      </c>
      <c r="H8">
        <v>2041.6780206797191</v>
      </c>
    </row>
    <row r="9">
      <c r="A9">
        <v>23</v>
      </c>
      <c r="B9">
        <v>4632.0500000000002</v>
      </c>
      <c r="C9">
        <v>4632.0500000000002</v>
      </c>
      <c r="D9">
        <v>4632.0500000000002</v>
      </c>
      <c r="E9">
        <v>4632.0500000000002</v>
      </c>
      <c r="F9">
        <v>4632.0500000000002</v>
      </c>
      <c r="G9">
        <v>4568.1300000000001</v>
      </c>
      <c r="H9">
        <v>4500.46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150</v>
      </c>
      <c r="C2">
        <v>0</v>
      </c>
      <c r="D2">
        <v>54.264000000000003</v>
      </c>
      <c r="E2">
        <v>71.609999999999999</v>
      </c>
      <c r="F2">
        <v>119.5390206797187</v>
      </c>
      <c r="G2">
        <v>130.93262753172669</v>
      </c>
    </row>
    <row r="3">
      <c r="A3">
        <v>5</v>
      </c>
      <c r="B3">
        <v>75</v>
      </c>
      <c r="C3">
        <v>0</v>
      </c>
      <c r="D3">
        <v>0</v>
      </c>
      <c r="E3">
        <v>0</v>
      </c>
      <c r="F3">
        <v>26.413979320280159</v>
      </c>
      <c r="G3">
        <v>75</v>
      </c>
    </row>
    <row r="4">
      <c r="A4">
        <v>6</v>
      </c>
      <c r="B4">
        <v>75</v>
      </c>
      <c r="C4">
        <v>0</v>
      </c>
      <c r="D4">
        <v>0</v>
      </c>
      <c r="E4">
        <v>44.674000000000028</v>
      </c>
      <c r="F4">
        <v>54.120000000001127</v>
      </c>
      <c r="G4">
        <v>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5288.0388399999993</v>
      </c>
      <c r="C2">
        <v>13947.11094</v>
      </c>
      <c r="D2">
        <v>17012.929499999998</v>
      </c>
      <c r="E2">
        <v>17416.62890999997</v>
      </c>
      <c r="F2">
        <v>15726.98495262544</v>
      </c>
      <c r="G2">
        <v>69391.693142625401</v>
      </c>
    </row>
    <row r="3">
      <c r="A3" t="s">
        <v>276</v>
      </c>
      <c r="B3">
        <v>453.18139999999988</v>
      </c>
      <c r="C3">
        <v>925.01023999999995</v>
      </c>
      <c r="D3">
        <v>1022.29582</v>
      </c>
      <c r="E3">
        <v>920.85209999999995</v>
      </c>
      <c r="F3">
        <v>739.60991999999999</v>
      </c>
      <c r="G3">
        <v>4060.9494800000002</v>
      </c>
    </row>
    <row r="4">
      <c r="A4" t="s">
        <v>277</v>
      </c>
      <c r="B4">
        <v>677.88799807415353</v>
      </c>
      <c r="C4">
        <v>439.26771892606001</v>
      </c>
      <c r="D4">
        <v>570.98279350036</v>
      </c>
      <c r="E4">
        <v>706.60297865126745</v>
      </c>
      <c r="F4">
        <v>545.57377278711169</v>
      </c>
      <c r="G4">
        <v>2940.315261938953</v>
      </c>
    </row>
    <row r="5">
      <c r="A5" t="s">
        <v>278</v>
      </c>
      <c r="B5">
        <v>193.68228516404389</v>
      </c>
      <c r="C5">
        <v>0</v>
      </c>
      <c r="D5">
        <v>0</v>
      </c>
      <c r="E5">
        <v>189.48092685132789</v>
      </c>
      <c r="F5">
        <v>57.531404378111972</v>
      </c>
      <c r="G5">
        <v>440.69461639348378</v>
      </c>
    </row>
    <row r="6">
      <c r="A6" t="s">
        <v>279</v>
      </c>
      <c r="B6">
        <v>0</v>
      </c>
      <c r="C6">
        <v>98.422962059999989</v>
      </c>
      <c r="D6">
        <v>66.686421280000005</v>
      </c>
      <c r="E6">
        <v>0</v>
      </c>
      <c r="F6">
        <v>0</v>
      </c>
      <c r="G6">
        <v>165.10938333999999</v>
      </c>
    </row>
    <row r="7">
      <c r="A7" t="s">
        <v>280</v>
      </c>
      <c r="B7">
        <v>4983.8968299999997</v>
      </c>
      <c r="C7">
        <v>9647.45586</v>
      </c>
      <c r="D7">
        <v>3694.8521999999998</v>
      </c>
      <c r="E7">
        <v>3954.1289999999999</v>
      </c>
      <c r="F7">
        <v>1398.8620800000001</v>
      </c>
      <c r="G7">
        <v>23679.195970000001</v>
      </c>
    </row>
    <row r="8">
      <c r="A8" t="s">
        <v>281</v>
      </c>
      <c r="B8">
        <v>0</v>
      </c>
      <c r="C8">
        <v>0</v>
      </c>
      <c r="D8">
        <v>247.33300208935859</v>
      </c>
      <c r="E8">
        <v>175.47230390524439</v>
      </c>
      <c r="F8">
        <v>249.93657259421161</v>
      </c>
      <c r="G8">
        <v>672.74187858881464</v>
      </c>
    </row>
    <row r="9">
      <c r="A9" t="s">
        <v>282</v>
      </c>
      <c r="B9">
        <v>88.125663385759992</v>
      </c>
      <c r="C9">
        <v>123.90442201472</v>
      </c>
      <c r="D9">
        <v>168.14644313784001</v>
      </c>
      <c r="E9">
        <v>219.31185715114</v>
      </c>
      <c r="F9">
        <v>237.164924906338</v>
      </c>
      <c r="G9">
        <v>836.65331059579796</v>
      </c>
    </row>
    <row r="10">
      <c r="A10" t="s">
        <v>283</v>
      </c>
      <c r="B10">
        <v>25.178760967359992</v>
      </c>
      <c r="C10">
        <v>19.085565291519991</v>
      </c>
      <c r="D10">
        <v>14.466645068839989</v>
      </c>
      <c r="E10">
        <v>35.597507543059997</v>
      </c>
      <c r="F10">
        <v>34.462767229239986</v>
      </c>
      <c r="G10">
        <v>128.79124610002</v>
      </c>
    </row>
    <row r="11">
      <c r="A11" t="s">
        <v>284</v>
      </c>
      <c r="B11">
        <v>0</v>
      </c>
      <c r="C11">
        <v>12.795014399999999</v>
      </c>
      <c r="D11">
        <v>18.367902999999998</v>
      </c>
      <c r="E11">
        <v>13.9228998</v>
      </c>
      <c r="F11">
        <v>10.55352375</v>
      </c>
      <c r="G11">
        <v>55.639340949999998</v>
      </c>
    </row>
    <row r="12">
      <c r="A12" t="s">
        <v>285</v>
      </c>
      <c r="B12">
        <v>134.62097</v>
      </c>
      <c r="C12">
        <v>362.69639999999998</v>
      </c>
      <c r="D12">
        <v>374.53500000000003</v>
      </c>
      <c r="E12">
        <v>390.54730000000012</v>
      </c>
      <c r="F12">
        <v>333.82173</v>
      </c>
      <c r="G12">
        <v>1596.2213999999999</v>
      </c>
    </row>
    <row r="13">
      <c r="A13" t="s">
        <v>286</v>
      </c>
      <c r="B13">
        <v>0</v>
      </c>
      <c r="C13">
        <v>0</v>
      </c>
      <c r="D13">
        <v>6.3569643564137861</v>
      </c>
      <c r="E13">
        <v>9.3456572017268265</v>
      </c>
      <c r="F13">
        <v>13.48547778778781</v>
      </c>
      <c r="G13">
        <v>29.188099345928421</v>
      </c>
    </row>
    <row r="14">
      <c r="A14" t="s">
        <v>287</v>
      </c>
      <c r="B14">
        <v>785.56055199999992</v>
      </c>
      <c r="C14">
        <v>2072.2041060000001</v>
      </c>
      <c r="D14">
        <v>2527.7238000000002</v>
      </c>
      <c r="E14">
        <v>2587.1201549999951</v>
      </c>
      <c r="F14">
        <v>2336.295663988908</v>
      </c>
      <c r="G14">
        <v>10308.9042769889</v>
      </c>
    </row>
    <row r="15">
      <c r="A15" t="s">
        <v>288</v>
      </c>
      <c r="B15">
        <v>0</v>
      </c>
      <c r="C15">
        <v>0</v>
      </c>
      <c r="D15">
        <v>55.249920000000003</v>
      </c>
      <c r="E15">
        <v>77.149616543774698</v>
      </c>
      <c r="F15">
        <v>112.36127681613711</v>
      </c>
      <c r="G15">
        <v>244.76081335991179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45540.571320000003</v>
      </c>
      <c r="C17">
        <v>25324.459159999999</v>
      </c>
      <c r="D17">
        <v>13617.030000000001</v>
      </c>
      <c r="E17">
        <v>7265.4064000000089</v>
      </c>
      <c r="F17">
        <v>1174.584047719844</v>
      </c>
      <c r="G17">
        <v>92922.050927719858</v>
      </c>
    </row>
    <row r="18">
      <c r="A18" t="s">
        <v>291</v>
      </c>
      <c r="B18">
        <v>-0</v>
      </c>
      <c r="C18">
        <v>-4296.0808800000004</v>
      </c>
      <c r="D18">
        <v>-6978.2028400000017</v>
      </c>
      <c r="E18">
        <v>-9101.3207699999984</v>
      </c>
      <c r="F18">
        <v>-9686.5569972939375</v>
      </c>
      <c r="G18">
        <v>-30062.161487293939</v>
      </c>
    </row>
    <row r="19">
      <c r="A19" t="s">
        <v>292</v>
      </c>
      <c r="B19">
        <v>57951.883573459912</v>
      </c>
      <c r="C19">
        <v>48657.245943400783</v>
      </c>
      <c r="D19">
        <v>32404.28692736397</v>
      </c>
      <c r="E19">
        <v>24635.168408253121</v>
      </c>
      <c r="F19">
        <v>13192.67694568184</v>
      </c>
      <c r="G19">
        <v>176841.2617981596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t="s">
        <v>29</v>
      </c>
      <c r="B2">
        <v>1</v>
      </c>
      <c r="C2">
        <v>38</v>
      </c>
      <c r="D2">
        <v>186.05000000000001</v>
      </c>
      <c r="E2">
        <v>297.07999999999998</v>
      </c>
      <c r="F2" t="s">
        <v>30</v>
      </c>
      <c r="G2" t="s">
        <v>31</v>
      </c>
      <c r="H2">
        <v>150</v>
      </c>
      <c r="I2">
        <v>87.381501019738423</v>
      </c>
      <c r="J2">
        <v>229.1929265244068</v>
      </c>
      <c r="K2">
        <v>87.381501019738423</v>
      </c>
      <c r="L2">
        <v>45</v>
      </c>
      <c r="M2">
        <v>27.095937051814008</v>
      </c>
      <c r="N2">
        <v>40.276309174969981</v>
      </c>
      <c r="O2">
        <v>27.123707637369669</v>
      </c>
      <c r="P2">
        <v>1</v>
      </c>
      <c r="Q2">
        <v>2040</v>
      </c>
      <c r="R2">
        <v>2040</v>
      </c>
      <c r="S2">
        <v>409.55100978735999</v>
      </c>
      <c r="T2" t="b">
        <v>0</v>
      </c>
      <c r="U2">
        <v>2</v>
      </c>
      <c r="V2">
        <v>0</v>
      </c>
      <c r="W2">
        <v>50</v>
      </c>
      <c r="X2">
        <v>10</v>
      </c>
      <c r="Y2">
        <v>0</v>
      </c>
      <c r="Z2">
        <v>0</v>
      </c>
      <c r="AA2">
        <v>104.64</v>
      </c>
      <c r="AB2">
        <v>96.357372468274548</v>
      </c>
      <c r="AC2">
        <v>110.84999999999999</v>
      </c>
    </row>
    <row r="3">
      <c r="A3" t="s">
        <v>32</v>
      </c>
      <c r="B3">
        <v>0</v>
      </c>
      <c r="D3">
        <v>84.569999999999993</v>
      </c>
      <c r="E3">
        <v>127.09999999999999</v>
      </c>
      <c r="F3" t="s">
        <v>33</v>
      </c>
      <c r="G3" t="s">
        <v>34</v>
      </c>
      <c r="T3" t="b">
        <v>0</v>
      </c>
    </row>
    <row r="4">
      <c r="A4" t="s">
        <v>35</v>
      </c>
      <c r="B4">
        <v>0</v>
      </c>
      <c r="D4">
        <v>350.20999999999998</v>
      </c>
      <c r="E4">
        <v>491.30000000000001</v>
      </c>
      <c r="F4" t="s">
        <v>36</v>
      </c>
      <c r="G4" t="s">
        <v>37</v>
      </c>
      <c r="T4" t="b">
        <v>0</v>
      </c>
    </row>
    <row r="5">
      <c r="A5" t="s">
        <v>38</v>
      </c>
      <c r="B5">
        <v>0</v>
      </c>
      <c r="D5">
        <v>482.27999999999997</v>
      </c>
      <c r="E5">
        <v>484.77999999999997</v>
      </c>
      <c r="F5" t="s">
        <v>39</v>
      </c>
      <c r="G5" t="s">
        <v>40</v>
      </c>
      <c r="T5" t="b">
        <v>0</v>
      </c>
    </row>
    <row r="6">
      <c r="A6" t="s">
        <v>41</v>
      </c>
      <c r="B6">
        <v>0</v>
      </c>
      <c r="D6">
        <v>85.120000000000005</v>
      </c>
      <c r="E6">
        <v>166.22999999999999</v>
      </c>
      <c r="F6" t="s">
        <v>42</v>
      </c>
      <c r="G6" t="s">
        <v>43</v>
      </c>
      <c r="T6" t="b">
        <v>0</v>
      </c>
    </row>
    <row r="7">
      <c r="A7" t="s">
        <v>44</v>
      </c>
      <c r="B7">
        <v>0</v>
      </c>
      <c r="D7">
        <v>222.78</v>
      </c>
      <c r="E7">
        <v>263.82999999999998</v>
      </c>
      <c r="F7" t="s">
        <v>45</v>
      </c>
      <c r="G7" t="s">
        <v>46</v>
      </c>
      <c r="T7" t="b">
        <v>0</v>
      </c>
    </row>
    <row r="8">
      <c r="A8" t="s">
        <v>47</v>
      </c>
      <c r="B8">
        <v>0</v>
      </c>
      <c r="D8">
        <v>2.5</v>
      </c>
      <c r="E8">
        <v>484.77999999999997</v>
      </c>
      <c r="F8" t="s">
        <v>48</v>
      </c>
      <c r="G8" t="s">
        <v>49</v>
      </c>
      <c r="T8" t="b">
        <v>0</v>
      </c>
    </row>
    <row r="9">
      <c r="A9" t="s">
        <v>50</v>
      </c>
      <c r="B9">
        <v>0</v>
      </c>
      <c r="D9">
        <v>109.53</v>
      </c>
      <c r="E9">
        <v>297.07999999999998</v>
      </c>
      <c r="F9" t="s">
        <v>51</v>
      </c>
      <c r="G9" t="s">
        <v>52</v>
      </c>
      <c r="T9" t="b">
        <v>0</v>
      </c>
    </row>
    <row r="10">
      <c r="A10" t="s">
        <v>53</v>
      </c>
      <c r="B10">
        <v>0</v>
      </c>
      <c r="D10">
        <v>207.56999999999999</v>
      </c>
      <c r="E10">
        <v>496.16000000000003</v>
      </c>
      <c r="F10" t="s">
        <v>54</v>
      </c>
      <c r="G10" t="s">
        <v>46</v>
      </c>
      <c r="T10" t="b">
        <v>0</v>
      </c>
    </row>
    <row r="11">
      <c r="A11" t="s">
        <v>55</v>
      </c>
      <c r="B11">
        <v>0</v>
      </c>
      <c r="D11">
        <v>132.71000000000001</v>
      </c>
      <c r="E11">
        <v>141.72999999999999</v>
      </c>
      <c r="F11" t="s">
        <v>56</v>
      </c>
      <c r="G11" t="s">
        <v>49</v>
      </c>
      <c r="T11" t="b">
        <v>0</v>
      </c>
    </row>
    <row r="12">
      <c r="A12" t="s">
        <v>57</v>
      </c>
      <c r="B12">
        <v>0</v>
      </c>
      <c r="D12">
        <v>64.079999999999998</v>
      </c>
      <c r="E12">
        <v>369.45999999999998</v>
      </c>
      <c r="F12" t="s">
        <v>58</v>
      </c>
      <c r="G12" t="s">
        <v>40</v>
      </c>
      <c r="T12" t="b">
        <v>0</v>
      </c>
    </row>
    <row r="13">
      <c r="A13" t="s">
        <v>59</v>
      </c>
      <c r="B13">
        <v>0</v>
      </c>
      <c r="D13">
        <v>85.340000000000003</v>
      </c>
      <c r="E13">
        <v>110.44</v>
      </c>
      <c r="F13" t="s">
        <v>60</v>
      </c>
      <c r="G13" t="s">
        <v>52</v>
      </c>
      <c r="T13" t="b">
        <v>0</v>
      </c>
    </row>
    <row r="14">
      <c r="A14" t="s">
        <v>61</v>
      </c>
      <c r="B14">
        <v>0</v>
      </c>
      <c r="D14">
        <v>200.08000000000001</v>
      </c>
      <c r="E14">
        <v>553.72000000000003</v>
      </c>
      <c r="F14" t="s">
        <v>62</v>
      </c>
      <c r="G14" t="s">
        <v>46</v>
      </c>
      <c r="T14" t="b">
        <v>0</v>
      </c>
    </row>
    <row r="15">
      <c r="A15" t="s">
        <v>63</v>
      </c>
      <c r="B15">
        <v>0</v>
      </c>
      <c r="D15">
        <v>120.09</v>
      </c>
      <c r="E15">
        <v>448.82999999999998</v>
      </c>
      <c r="F15" t="s">
        <v>64</v>
      </c>
      <c r="G15" t="s">
        <v>65</v>
      </c>
      <c r="T15" t="b">
        <v>0</v>
      </c>
    </row>
    <row r="16">
      <c r="A16" t="s">
        <v>66</v>
      </c>
      <c r="B16">
        <v>0</v>
      </c>
      <c r="D16">
        <v>165.53</v>
      </c>
      <c r="E16">
        <v>302.06</v>
      </c>
      <c r="F16" t="s">
        <v>67</v>
      </c>
      <c r="G16" t="s">
        <v>31</v>
      </c>
      <c r="T16" t="b">
        <v>0</v>
      </c>
    </row>
    <row r="17">
      <c r="A17" t="s">
        <v>68</v>
      </c>
      <c r="B17">
        <v>0</v>
      </c>
      <c r="D17">
        <v>339.38999999999999</v>
      </c>
      <c r="E17">
        <v>371.42000000000002</v>
      </c>
      <c r="F17" t="s">
        <v>69</v>
      </c>
      <c r="G17" t="s">
        <v>65</v>
      </c>
      <c r="T17" t="b">
        <v>0</v>
      </c>
    </row>
    <row r="18">
      <c r="A18" t="s">
        <v>70</v>
      </c>
      <c r="B18">
        <v>0</v>
      </c>
      <c r="D18">
        <v>229</v>
      </c>
      <c r="E18">
        <v>561.50999999999999</v>
      </c>
      <c r="F18" t="s">
        <v>71</v>
      </c>
      <c r="G18" t="s">
        <v>46</v>
      </c>
      <c r="T18" t="b">
        <v>0</v>
      </c>
    </row>
    <row r="19">
      <c r="A19" t="s">
        <v>72</v>
      </c>
      <c r="B19">
        <v>0</v>
      </c>
      <c r="D19">
        <v>41.049999999999997</v>
      </c>
      <c r="E19">
        <v>263.82999999999998</v>
      </c>
      <c r="F19" t="s">
        <v>73</v>
      </c>
      <c r="G19" t="s">
        <v>46</v>
      </c>
      <c r="T19" t="b">
        <v>0</v>
      </c>
    </row>
    <row r="20">
      <c r="A20" t="s">
        <v>74</v>
      </c>
      <c r="B20">
        <v>0</v>
      </c>
      <c r="D20">
        <v>11.06</v>
      </c>
      <c r="E20">
        <v>68.849999999999994</v>
      </c>
      <c r="F20" t="s">
        <v>75</v>
      </c>
      <c r="G20" t="s">
        <v>65</v>
      </c>
      <c r="T20" t="b">
        <v>0</v>
      </c>
    </row>
    <row r="21">
      <c r="A21" t="s">
        <v>76</v>
      </c>
      <c r="B21">
        <v>0</v>
      </c>
      <c r="D21">
        <v>116.65000000000001</v>
      </c>
      <c r="E21">
        <v>326.42000000000002</v>
      </c>
      <c r="F21" t="s">
        <v>77</v>
      </c>
      <c r="G21" t="s">
        <v>78</v>
      </c>
      <c r="T21" t="b">
        <v>0</v>
      </c>
    </row>
    <row r="22">
      <c r="A22" t="s">
        <v>79</v>
      </c>
      <c r="B22">
        <v>0</v>
      </c>
      <c r="D22">
        <v>288.58999999999997</v>
      </c>
      <c r="E22">
        <v>496.16000000000003</v>
      </c>
      <c r="F22" t="s">
        <v>80</v>
      </c>
      <c r="G22" t="s">
        <v>46</v>
      </c>
      <c r="T22" t="b">
        <v>0</v>
      </c>
    </row>
    <row r="23">
      <c r="A23" t="s">
        <v>81</v>
      </c>
      <c r="B23">
        <v>0</v>
      </c>
      <c r="D23">
        <v>524.22000000000003</v>
      </c>
      <c r="E23">
        <v>555.74000000000001</v>
      </c>
      <c r="F23" t="s">
        <v>82</v>
      </c>
      <c r="G23" t="s">
        <v>52</v>
      </c>
      <c r="T23" t="b">
        <v>0</v>
      </c>
    </row>
    <row r="24">
      <c r="A24" t="s">
        <v>83</v>
      </c>
      <c r="B24">
        <v>0</v>
      </c>
      <c r="D24">
        <v>199.06</v>
      </c>
      <c r="E24">
        <v>243.08000000000001</v>
      </c>
      <c r="F24" t="s">
        <v>84</v>
      </c>
      <c r="G24" t="s">
        <v>49</v>
      </c>
      <c r="T24" t="b">
        <v>0</v>
      </c>
    </row>
    <row r="25">
      <c r="A25" t="s">
        <v>85</v>
      </c>
      <c r="B25">
        <v>0</v>
      </c>
      <c r="D25">
        <v>55.079999999999998</v>
      </c>
      <c r="E25">
        <v>130.69999999999999</v>
      </c>
      <c r="F25" t="s">
        <v>86</v>
      </c>
      <c r="G25" t="s">
        <v>40</v>
      </c>
      <c r="T25" t="b">
        <v>0</v>
      </c>
    </row>
    <row r="26">
      <c r="A26" t="s">
        <v>87</v>
      </c>
      <c r="B26">
        <v>0</v>
      </c>
      <c r="D26">
        <v>32.039999999999999</v>
      </c>
      <c r="E26">
        <v>371.42000000000002</v>
      </c>
      <c r="F26" t="s">
        <v>88</v>
      </c>
      <c r="G26" t="s">
        <v>89</v>
      </c>
      <c r="T26" t="b">
        <v>0</v>
      </c>
    </row>
    <row r="27">
      <c r="A27" t="s">
        <v>90</v>
      </c>
      <c r="B27">
        <v>0</v>
      </c>
      <c r="D27">
        <v>85.739999999999995</v>
      </c>
      <c r="E27">
        <v>147.41</v>
      </c>
      <c r="F27" t="s">
        <v>91</v>
      </c>
      <c r="G27" t="s">
        <v>40</v>
      </c>
      <c r="T27" t="b">
        <v>0</v>
      </c>
    </row>
    <row r="28">
      <c r="A28" t="s">
        <v>92</v>
      </c>
      <c r="B28">
        <v>0</v>
      </c>
      <c r="D28">
        <v>29.030000000000001</v>
      </c>
      <c r="E28">
        <v>189.69</v>
      </c>
      <c r="F28" t="s">
        <v>93</v>
      </c>
      <c r="G28" t="s">
        <v>40</v>
      </c>
      <c r="T28" t="b">
        <v>0</v>
      </c>
    </row>
    <row r="29">
      <c r="A29" t="s">
        <v>94</v>
      </c>
      <c r="B29">
        <v>0</v>
      </c>
      <c r="D29">
        <v>23.010000000000002</v>
      </c>
      <c r="E29">
        <v>245.06</v>
      </c>
      <c r="F29" t="s">
        <v>95</v>
      </c>
      <c r="G29" t="s">
        <v>49</v>
      </c>
      <c r="T29" t="b">
        <v>0</v>
      </c>
    </row>
    <row r="30">
      <c r="A30" t="s">
        <v>96</v>
      </c>
      <c r="B30">
        <v>0</v>
      </c>
      <c r="D30">
        <v>41.520000000000003</v>
      </c>
      <c r="E30">
        <v>345.18000000000001</v>
      </c>
      <c r="F30" t="s">
        <v>97</v>
      </c>
      <c r="G30" t="s">
        <v>98</v>
      </c>
      <c r="T30" t="b">
        <v>0</v>
      </c>
    </row>
    <row r="31">
      <c r="A31" t="s">
        <v>99</v>
      </c>
      <c r="B31">
        <v>0</v>
      </c>
      <c r="D31">
        <v>148.58000000000001</v>
      </c>
      <c r="E31">
        <v>370.19</v>
      </c>
      <c r="F31" t="s">
        <v>100</v>
      </c>
      <c r="G31" t="s">
        <v>46</v>
      </c>
      <c r="T31" t="b">
        <v>0</v>
      </c>
    </row>
    <row r="32">
      <c r="A32" t="s">
        <v>101</v>
      </c>
      <c r="B32">
        <v>0</v>
      </c>
      <c r="D32">
        <v>229.52000000000001</v>
      </c>
      <c r="E32">
        <v>233.52000000000001</v>
      </c>
      <c r="F32" t="s">
        <v>102</v>
      </c>
      <c r="G32" t="s">
        <v>40</v>
      </c>
      <c r="T32" t="b">
        <v>0</v>
      </c>
    </row>
    <row r="33">
      <c r="A33" t="s">
        <v>103</v>
      </c>
      <c r="B33">
        <v>0</v>
      </c>
      <c r="D33">
        <v>100.59999999999999</v>
      </c>
      <c r="E33">
        <v>100.59999999999999</v>
      </c>
      <c r="F33" t="s">
        <v>104</v>
      </c>
      <c r="G33" t="s">
        <v>49</v>
      </c>
      <c r="T33" t="b">
        <v>0</v>
      </c>
    </row>
    <row r="34">
      <c r="A34" t="s">
        <v>105</v>
      </c>
      <c r="B34">
        <v>0</v>
      </c>
      <c r="D34">
        <v>78.120000000000005</v>
      </c>
      <c r="E34">
        <v>78.120000000000005</v>
      </c>
      <c r="F34" t="s">
        <v>106</v>
      </c>
      <c r="G34" t="s">
        <v>65</v>
      </c>
      <c r="T34" t="b">
        <v>0</v>
      </c>
    </row>
    <row r="35">
      <c r="A35" t="s">
        <v>107</v>
      </c>
      <c r="B35">
        <v>0</v>
      </c>
      <c r="D35">
        <v>134.71000000000001</v>
      </c>
      <c r="E35">
        <v>263.91000000000003</v>
      </c>
      <c r="F35" t="s">
        <v>108</v>
      </c>
      <c r="G35" t="s">
        <v>78</v>
      </c>
      <c r="T35" t="b">
        <v>0</v>
      </c>
    </row>
    <row r="36">
      <c r="A36" t="s">
        <v>109</v>
      </c>
      <c r="B36">
        <v>0</v>
      </c>
      <c r="D36">
        <v>93.099999999999994</v>
      </c>
      <c r="E36">
        <v>361.88</v>
      </c>
      <c r="F36" t="s">
        <v>110</v>
      </c>
      <c r="G36" t="s">
        <v>78</v>
      </c>
      <c r="T36" t="b">
        <v>0</v>
      </c>
    </row>
    <row r="37">
      <c r="A37" t="s">
        <v>111</v>
      </c>
      <c r="B37">
        <v>0</v>
      </c>
      <c r="D37">
        <v>0</v>
      </c>
      <c r="E37">
        <v>100.59999999999999</v>
      </c>
      <c r="F37" t="s">
        <v>112</v>
      </c>
      <c r="G37" t="s">
        <v>40</v>
      </c>
      <c r="T37" t="b">
        <v>0</v>
      </c>
    </row>
    <row r="38">
      <c r="A38" t="s">
        <v>113</v>
      </c>
      <c r="B38">
        <v>1</v>
      </c>
      <c r="C38">
        <v>30</v>
      </c>
      <c r="D38">
        <v>65.689999999999998</v>
      </c>
      <c r="E38">
        <v>80.230000000000004</v>
      </c>
      <c r="F38" t="s">
        <v>114</v>
      </c>
      <c r="G38" t="s">
        <v>40</v>
      </c>
      <c r="H38">
        <v>150</v>
      </c>
      <c r="I38">
        <v>113.3821431187982</v>
      </c>
      <c r="J38">
        <v>142.06171310093649</v>
      </c>
      <c r="K38">
        <v>113.3821431187982</v>
      </c>
      <c r="L38">
        <v>45</v>
      </c>
      <c r="M38">
        <v>35.774081207484478</v>
      </c>
      <c r="N38">
        <v>37.353684875527698</v>
      </c>
      <c r="O38">
        <v>35.145913034755282</v>
      </c>
      <c r="P38">
        <v>0</v>
      </c>
      <c r="R38">
        <v>2035</v>
      </c>
      <c r="S38">
        <v>115.19613143949999</v>
      </c>
      <c r="T38" t="b">
        <v>0</v>
      </c>
      <c r="U38">
        <v>2</v>
      </c>
      <c r="V38">
        <v>0</v>
      </c>
      <c r="Y38">
        <v>0</v>
      </c>
      <c r="Z38">
        <v>0</v>
      </c>
      <c r="AA38">
        <v>0</v>
      </c>
      <c r="AB38">
        <v>63.920000000004023</v>
      </c>
      <c r="AC38">
        <v>67.670000000000002</v>
      </c>
    </row>
    <row r="39">
      <c r="A39" t="s">
        <v>115</v>
      </c>
      <c r="B39">
        <v>0</v>
      </c>
      <c r="D39">
        <v>167.02000000000001</v>
      </c>
      <c r="E39">
        <v>518.05999999999995</v>
      </c>
      <c r="F39" t="s">
        <v>116</v>
      </c>
      <c r="G39" t="s">
        <v>89</v>
      </c>
      <c r="T39" t="b">
        <v>0</v>
      </c>
    </row>
    <row r="40">
      <c r="A40" t="s">
        <v>117</v>
      </c>
      <c r="B40">
        <v>1</v>
      </c>
      <c r="C40">
        <v>26</v>
      </c>
      <c r="D40">
        <v>147.03</v>
      </c>
      <c r="E40">
        <v>222.05000000000001</v>
      </c>
      <c r="F40" t="s">
        <v>118</v>
      </c>
      <c r="G40" t="s">
        <v>40</v>
      </c>
      <c r="H40">
        <v>150</v>
      </c>
      <c r="I40">
        <v>78.240189616949976</v>
      </c>
      <c r="J40">
        <v>141.68952242732871</v>
      </c>
      <c r="K40">
        <v>78.240189616949976</v>
      </c>
      <c r="L40">
        <v>45</v>
      </c>
      <c r="M40">
        <v>32.339456206995933</v>
      </c>
      <c r="N40">
        <v>43.137130582981243</v>
      </c>
      <c r="O40">
        <v>31.640110306051049</v>
      </c>
      <c r="P40">
        <v>1</v>
      </c>
      <c r="Q40">
        <v>2045</v>
      </c>
      <c r="R40">
        <v>2045</v>
      </c>
      <c r="S40">
        <v>223.74703613247931</v>
      </c>
      <c r="T40" t="b">
        <v>1</v>
      </c>
      <c r="U40">
        <v>0.42999999999999999</v>
      </c>
      <c r="V40">
        <v>63.927724609279792</v>
      </c>
      <c r="W40">
        <v>50</v>
      </c>
      <c r="X40">
        <v>10</v>
      </c>
      <c r="Y40">
        <v>0</v>
      </c>
      <c r="Z40">
        <v>0</v>
      </c>
      <c r="AA40">
        <v>0</v>
      </c>
      <c r="AB40">
        <v>55.110648211446453</v>
      </c>
      <c r="AC40">
        <v>55.110648211446239</v>
      </c>
    </row>
    <row r="41">
      <c r="A41" t="s">
        <v>119</v>
      </c>
      <c r="B41">
        <v>0</v>
      </c>
      <c r="D41">
        <v>30.510000000000002</v>
      </c>
      <c r="E41">
        <v>555.74000000000001</v>
      </c>
      <c r="F41" t="s">
        <v>120</v>
      </c>
      <c r="G41" t="s">
        <v>31</v>
      </c>
      <c r="T41" t="b">
        <v>0</v>
      </c>
    </row>
    <row r="42">
      <c r="A42" t="s">
        <v>121</v>
      </c>
      <c r="B42">
        <v>0</v>
      </c>
      <c r="D42">
        <v>86.530000000000001</v>
      </c>
      <c r="E42">
        <v>347.61000000000001</v>
      </c>
      <c r="F42" t="s">
        <v>122</v>
      </c>
      <c r="G42" t="s">
        <v>98</v>
      </c>
      <c r="T42" t="b">
        <v>0</v>
      </c>
    </row>
    <row r="43">
      <c r="A43" t="s">
        <v>123</v>
      </c>
      <c r="B43">
        <v>0</v>
      </c>
      <c r="D43">
        <v>31.510000000000002</v>
      </c>
      <c r="E43">
        <v>562.63</v>
      </c>
      <c r="F43" t="s">
        <v>124</v>
      </c>
      <c r="G43" t="s">
        <v>31</v>
      </c>
      <c r="T43" t="b">
        <v>0</v>
      </c>
    </row>
    <row r="44">
      <c r="A44" t="s">
        <v>125</v>
      </c>
      <c r="B44">
        <v>0</v>
      </c>
      <c r="D44">
        <v>121.13</v>
      </c>
      <c r="E44">
        <v>423.45999999999998</v>
      </c>
      <c r="F44" t="s">
        <v>126</v>
      </c>
      <c r="G44" t="s">
        <v>127</v>
      </c>
      <c r="T44" t="b">
        <v>0</v>
      </c>
    </row>
    <row r="45">
      <c r="A45" t="s">
        <v>128</v>
      </c>
      <c r="B45">
        <v>0</v>
      </c>
      <c r="D45">
        <v>302.32999999999998</v>
      </c>
      <c r="E45">
        <v>423.45999999999998</v>
      </c>
      <c r="F45" t="s">
        <v>129</v>
      </c>
      <c r="G45" t="s">
        <v>127</v>
      </c>
      <c r="T45" t="b">
        <v>0</v>
      </c>
    </row>
    <row r="46">
      <c r="A46" t="s">
        <v>130</v>
      </c>
      <c r="B46">
        <v>0</v>
      </c>
      <c r="D46">
        <v>295.43000000000001</v>
      </c>
      <c r="E46">
        <v>336.49000000000001</v>
      </c>
      <c r="F46" t="s">
        <v>131</v>
      </c>
      <c r="G46" t="s">
        <v>31</v>
      </c>
      <c r="T46" t="b">
        <v>0</v>
      </c>
    </row>
    <row r="47">
      <c r="A47" t="s">
        <v>132</v>
      </c>
      <c r="B47">
        <v>0</v>
      </c>
      <c r="D47">
        <v>129.19999999999999</v>
      </c>
      <c r="E47">
        <v>263.91000000000003</v>
      </c>
      <c r="F47" t="s">
        <v>133</v>
      </c>
      <c r="G47" t="s">
        <v>78</v>
      </c>
      <c r="T47" t="b">
        <v>0</v>
      </c>
    </row>
    <row r="48">
      <c r="A48" t="s">
        <v>134</v>
      </c>
      <c r="B48">
        <v>0</v>
      </c>
      <c r="D48">
        <v>44.009999999999998</v>
      </c>
      <c r="E48">
        <v>243.08000000000001</v>
      </c>
      <c r="F48" t="s">
        <v>135</v>
      </c>
      <c r="G48" t="s">
        <v>40</v>
      </c>
      <c r="T48" t="b">
        <v>0</v>
      </c>
    </row>
    <row r="49">
      <c r="A49" t="s">
        <v>136</v>
      </c>
      <c r="B49">
        <v>1</v>
      </c>
      <c r="C49">
        <v>34</v>
      </c>
      <c r="D49">
        <v>57.789999999999999</v>
      </c>
      <c r="E49">
        <v>68.849999999999994</v>
      </c>
      <c r="F49" t="s">
        <v>137</v>
      </c>
      <c r="G49" t="s">
        <v>89</v>
      </c>
      <c r="H49">
        <v>150</v>
      </c>
      <c r="I49">
        <v>138.18312276452789</v>
      </c>
      <c r="J49">
        <v>143.13227088609369</v>
      </c>
      <c r="K49">
        <v>138.18312276452789</v>
      </c>
      <c r="L49">
        <v>45</v>
      </c>
      <c r="M49">
        <v>39.013583780379747</v>
      </c>
      <c r="N49">
        <v>38.69396174267807</v>
      </c>
      <c r="O49">
        <v>38.535900856441799</v>
      </c>
      <c r="P49">
        <v>0</v>
      </c>
      <c r="R49">
        <v>2035</v>
      </c>
      <c r="S49">
        <v>107.7733384344</v>
      </c>
      <c r="T49" t="b">
        <v>0</v>
      </c>
      <c r="U49">
        <v>2</v>
      </c>
      <c r="V49">
        <v>0</v>
      </c>
      <c r="Y49">
        <v>0</v>
      </c>
      <c r="Z49">
        <v>65.417173003781414</v>
      </c>
      <c r="AA49">
        <v>71.609999999999999</v>
      </c>
      <c r="AB49">
        <v>74.210000000000818</v>
      </c>
      <c r="AC49">
        <v>77.280000000000115</v>
      </c>
    </row>
    <row r="50">
      <c r="A50" t="s">
        <v>138</v>
      </c>
      <c r="B50">
        <v>0</v>
      </c>
      <c r="D50">
        <v>303.66000000000003</v>
      </c>
      <c r="E50">
        <v>345.18000000000001</v>
      </c>
      <c r="F50" t="s">
        <v>139</v>
      </c>
      <c r="G50" t="s">
        <v>34</v>
      </c>
      <c r="T50" t="b">
        <v>0</v>
      </c>
    </row>
    <row r="51">
      <c r="A51" t="s">
        <v>140</v>
      </c>
      <c r="B51">
        <v>0</v>
      </c>
      <c r="D51">
        <v>48.509999999999998</v>
      </c>
      <c r="E51">
        <v>302.06</v>
      </c>
      <c r="F51" t="s">
        <v>141</v>
      </c>
      <c r="G51" t="s">
        <v>52</v>
      </c>
      <c r="T51" t="b">
        <v>0</v>
      </c>
    </row>
    <row r="52">
      <c r="A52" t="s">
        <v>142</v>
      </c>
      <c r="B52">
        <v>0</v>
      </c>
      <c r="D52">
        <v>530.62</v>
      </c>
      <c r="E52">
        <v>562.63</v>
      </c>
      <c r="F52" t="s">
        <v>143</v>
      </c>
      <c r="G52" t="s">
        <v>52</v>
      </c>
      <c r="T52" t="b">
        <v>0</v>
      </c>
    </row>
    <row r="53">
      <c r="A53" t="s">
        <v>144</v>
      </c>
      <c r="B53">
        <v>0</v>
      </c>
      <c r="D53">
        <v>142.80000000000001</v>
      </c>
      <c r="E53">
        <v>228.47999999999999</v>
      </c>
      <c r="F53" t="s">
        <v>145</v>
      </c>
      <c r="G53" t="s">
        <v>49</v>
      </c>
      <c r="T53" t="b">
        <v>0</v>
      </c>
    </row>
    <row r="54">
      <c r="A54" t="s">
        <v>146</v>
      </c>
      <c r="B54">
        <v>1</v>
      </c>
      <c r="C54">
        <v>42</v>
      </c>
      <c r="D54">
        <v>328.74000000000001</v>
      </c>
      <c r="E54">
        <v>448.82999999999998</v>
      </c>
      <c r="F54" t="s">
        <v>147</v>
      </c>
      <c r="G54" t="s">
        <v>89</v>
      </c>
      <c r="H54">
        <v>150</v>
      </c>
      <c r="I54">
        <v>89.878250043631141</v>
      </c>
      <c r="J54">
        <v>175.79455336902549</v>
      </c>
      <c r="K54">
        <v>89.878250043631141</v>
      </c>
      <c r="L54">
        <v>45</v>
      </c>
      <c r="M54">
        <v>33.375195608682972</v>
      </c>
      <c r="N54">
        <v>47.794333715780098</v>
      </c>
      <c r="O54">
        <v>33.373565187540883</v>
      </c>
      <c r="P54">
        <v>1</v>
      </c>
      <c r="Q54">
        <v>2040</v>
      </c>
      <c r="R54">
        <v>2040</v>
      </c>
      <c r="S54">
        <v>936.48459750804</v>
      </c>
      <c r="T54" t="b">
        <v>1</v>
      </c>
      <c r="U54">
        <v>0.42999999999999999</v>
      </c>
      <c r="V54">
        <v>267.56702785943997</v>
      </c>
      <c r="W54">
        <v>50</v>
      </c>
      <c r="X54">
        <v>10</v>
      </c>
      <c r="Y54">
        <v>0</v>
      </c>
      <c r="Z54">
        <v>0</v>
      </c>
      <c r="AA54">
        <v>86.809173003781353</v>
      </c>
      <c r="AB54">
        <v>90.254872468273803</v>
      </c>
      <c r="AC54">
        <v>119.7884793202805</v>
      </c>
    </row>
    <row r="55">
      <c r="A55" t="s">
        <v>148</v>
      </c>
      <c r="B55">
        <v>1</v>
      </c>
      <c r="C55">
        <v>14</v>
      </c>
      <c r="D55">
        <v>51.619999999999997</v>
      </c>
      <c r="E55">
        <v>151.34999999999999</v>
      </c>
      <c r="F55" t="s">
        <v>149</v>
      </c>
      <c r="G55" t="s">
        <v>89</v>
      </c>
      <c r="H55">
        <v>150</v>
      </c>
      <c r="I55">
        <v>100.1598466143474</v>
      </c>
      <c r="J55">
        <v>173.93481020059829</v>
      </c>
      <c r="K55">
        <v>100.1598466143474</v>
      </c>
      <c r="L55">
        <v>45</v>
      </c>
      <c r="M55">
        <v>36.155661937196101</v>
      </c>
      <c r="N55">
        <v>40.953323576416039</v>
      </c>
      <c r="O55">
        <v>36.810053375438329</v>
      </c>
      <c r="P55">
        <v>0</v>
      </c>
      <c r="R55">
        <v>2035</v>
      </c>
      <c r="S55">
        <v>139.14034637789999</v>
      </c>
      <c r="T55" t="b">
        <v>1</v>
      </c>
      <c r="U55">
        <v>0.42999999999999999</v>
      </c>
      <c r="V55">
        <v>39.754384679399983</v>
      </c>
      <c r="Y55">
        <v>0</v>
      </c>
      <c r="Z55">
        <v>15.978826996218601</v>
      </c>
      <c r="AA55">
        <v>15.978826996218601</v>
      </c>
      <c r="AB55">
        <v>15.97882699621962</v>
      </c>
      <c r="AC55">
        <v>1.2093517885533771</v>
      </c>
    </row>
    <row r="56">
      <c r="A56" t="s">
        <v>150</v>
      </c>
      <c r="B56">
        <v>0</v>
      </c>
      <c r="D56">
        <v>261.07999999999998</v>
      </c>
      <c r="E56">
        <v>347.61000000000001</v>
      </c>
      <c r="F56" t="s">
        <v>151</v>
      </c>
      <c r="G56" t="s">
        <v>34</v>
      </c>
      <c r="T56" t="b">
        <v>0</v>
      </c>
    </row>
    <row r="57">
      <c r="A57" t="s">
        <v>152</v>
      </c>
      <c r="B57">
        <v>0</v>
      </c>
      <c r="D57">
        <v>222.05000000000001</v>
      </c>
      <c r="E57">
        <v>245.06</v>
      </c>
      <c r="F57" t="s">
        <v>153</v>
      </c>
      <c r="G57" t="s">
        <v>40</v>
      </c>
      <c r="T57" t="b">
        <v>0</v>
      </c>
    </row>
    <row r="58">
      <c r="A58" t="s">
        <v>154</v>
      </c>
      <c r="B58">
        <v>0</v>
      </c>
      <c r="D58">
        <v>258.26999999999998</v>
      </c>
      <c r="E58">
        <v>348.87</v>
      </c>
      <c r="F58" t="s">
        <v>155</v>
      </c>
      <c r="G58" t="s">
        <v>49</v>
      </c>
      <c r="T58" t="b">
        <v>0</v>
      </c>
    </row>
    <row r="59">
      <c r="A59" t="s">
        <v>156</v>
      </c>
      <c r="B59">
        <v>0</v>
      </c>
      <c r="D59">
        <v>209.77000000000001</v>
      </c>
      <c r="E59">
        <v>326.42000000000002</v>
      </c>
      <c r="F59" t="s">
        <v>157</v>
      </c>
      <c r="G59" t="s">
        <v>78</v>
      </c>
      <c r="T59" t="b">
        <v>0</v>
      </c>
    </row>
    <row r="60">
      <c r="A60" t="s">
        <v>158</v>
      </c>
      <c r="B60">
        <v>0</v>
      </c>
      <c r="D60">
        <v>61.670000000000002</v>
      </c>
      <c r="E60">
        <v>147.41</v>
      </c>
      <c r="F60" t="s">
        <v>159</v>
      </c>
      <c r="G60" t="s">
        <v>49</v>
      </c>
      <c r="T60" t="b">
        <v>0</v>
      </c>
    </row>
    <row r="61">
      <c r="A61" t="s">
        <v>160</v>
      </c>
      <c r="B61">
        <v>0</v>
      </c>
      <c r="D61">
        <v>77.079999999999998</v>
      </c>
      <c r="E61">
        <v>325.82999999999998</v>
      </c>
      <c r="F61" t="s">
        <v>161</v>
      </c>
      <c r="G61" t="s">
        <v>40</v>
      </c>
      <c r="T61" t="b">
        <v>0</v>
      </c>
    </row>
    <row r="62">
      <c r="A62" t="s">
        <v>162</v>
      </c>
      <c r="B62">
        <v>0</v>
      </c>
      <c r="D62">
        <v>14.539999999999999</v>
      </c>
      <c r="E62">
        <v>80.230000000000004</v>
      </c>
      <c r="F62" t="s">
        <v>163</v>
      </c>
      <c r="G62" t="s">
        <v>49</v>
      </c>
      <c r="T62" t="b">
        <v>0</v>
      </c>
    </row>
    <row r="63">
      <c r="A63" t="s">
        <v>164</v>
      </c>
      <c r="B63">
        <v>1</v>
      </c>
      <c r="C63">
        <v>30</v>
      </c>
      <c r="D63">
        <v>85.680000000000007</v>
      </c>
      <c r="E63">
        <v>228.47999999999999</v>
      </c>
      <c r="F63" t="s">
        <v>165</v>
      </c>
      <c r="G63" t="s">
        <v>40</v>
      </c>
      <c r="H63">
        <v>150</v>
      </c>
      <c r="I63">
        <v>96.01490431867812</v>
      </c>
      <c r="J63">
        <v>157.9277203766535</v>
      </c>
      <c r="K63">
        <v>96.01490431867812</v>
      </c>
      <c r="L63">
        <v>45</v>
      </c>
      <c r="M63">
        <v>36.282553390452129</v>
      </c>
      <c r="N63">
        <v>47.696959192666291</v>
      </c>
      <c r="O63">
        <v>36.683907297240502</v>
      </c>
      <c r="P63">
        <v>1</v>
      </c>
      <c r="Q63">
        <v>2050</v>
      </c>
      <c r="R63">
        <v>2050</v>
      </c>
      <c r="S63">
        <v>201.35991532339199</v>
      </c>
      <c r="T63" t="b">
        <v>1</v>
      </c>
      <c r="U63">
        <v>0.42999999999999999</v>
      </c>
      <c r="V63">
        <v>57.531404378111972</v>
      </c>
      <c r="W63">
        <v>50</v>
      </c>
      <c r="X63">
        <v>10</v>
      </c>
      <c r="Y63">
        <v>0</v>
      </c>
      <c r="Z63">
        <v>0</v>
      </c>
      <c r="AA63">
        <v>0</v>
      </c>
      <c r="AB63">
        <v>0</v>
      </c>
      <c r="AC63">
        <v>73.040000000001086</v>
      </c>
    </row>
    <row r="64">
      <c r="A64" t="s">
        <v>166</v>
      </c>
      <c r="B64">
        <v>0</v>
      </c>
      <c r="D64">
        <v>90.599999999999994</v>
      </c>
      <c r="E64">
        <v>348.87</v>
      </c>
      <c r="F64" t="s">
        <v>167</v>
      </c>
      <c r="G64" t="s">
        <v>40</v>
      </c>
      <c r="T64" t="b">
        <v>0</v>
      </c>
    </row>
    <row r="65">
      <c r="A65" t="s">
        <v>168</v>
      </c>
      <c r="B65">
        <v>0</v>
      </c>
      <c r="D65">
        <v>353.63999999999999</v>
      </c>
      <c r="E65">
        <v>553.72000000000003</v>
      </c>
      <c r="F65" t="s">
        <v>169</v>
      </c>
      <c r="G65" t="s">
        <v>46</v>
      </c>
      <c r="T65" t="b">
        <v>0</v>
      </c>
    </row>
    <row r="66">
      <c r="A66" t="s">
        <v>170</v>
      </c>
      <c r="B66">
        <v>1</v>
      </c>
      <c r="C66">
        <v>34</v>
      </c>
      <c r="D66">
        <v>8.0500000000000007</v>
      </c>
      <c r="E66">
        <v>45.280000000000001</v>
      </c>
      <c r="F66" t="s">
        <v>171</v>
      </c>
      <c r="G66" t="s">
        <v>98</v>
      </c>
      <c r="H66">
        <v>192.1277994156552</v>
      </c>
      <c r="I66">
        <v>190.33491102177231</v>
      </c>
      <c r="J66">
        <v>198.35680004375149</v>
      </c>
      <c r="K66">
        <v>190.33491102177231</v>
      </c>
      <c r="L66">
        <v>36.785658540314877</v>
      </c>
      <c r="M66">
        <v>35.762833328692572</v>
      </c>
      <c r="N66">
        <v>33.116320775469568</v>
      </c>
      <c r="O66">
        <v>33.182505811064061</v>
      </c>
      <c r="P66">
        <v>0</v>
      </c>
      <c r="R66">
        <v>2050</v>
      </c>
      <c r="S66">
        <v>31.602059395199891</v>
      </c>
      <c r="T66" t="b">
        <v>0</v>
      </c>
      <c r="U66">
        <v>2</v>
      </c>
      <c r="V66">
        <v>0</v>
      </c>
      <c r="Y66">
        <v>0</v>
      </c>
      <c r="Z66">
        <v>0</v>
      </c>
      <c r="AA66">
        <v>0</v>
      </c>
      <c r="AB66">
        <v>0</v>
      </c>
      <c r="AC66">
        <v>86.086020679720619</v>
      </c>
    </row>
    <row r="67">
      <c r="A67" t="s">
        <v>172</v>
      </c>
      <c r="B67">
        <v>1</v>
      </c>
      <c r="C67">
        <v>34</v>
      </c>
      <c r="D67">
        <v>183.25</v>
      </c>
      <c r="E67">
        <v>343.97000000000003</v>
      </c>
      <c r="F67" t="s">
        <v>173</v>
      </c>
      <c r="G67" t="s">
        <v>78</v>
      </c>
      <c r="H67">
        <v>177.4287791661398</v>
      </c>
      <c r="I67">
        <v>84.595636760079856</v>
      </c>
      <c r="J67">
        <v>192.1277994156535</v>
      </c>
      <c r="K67">
        <v>84.595636760079856</v>
      </c>
      <c r="L67">
        <v>48.505169832423491</v>
      </c>
      <c r="M67">
        <v>25.442422662573001</v>
      </c>
      <c r="N67">
        <v>36.785658540314877</v>
      </c>
      <c r="O67">
        <v>25.293758024857318</v>
      </c>
      <c r="P67">
        <v>1</v>
      </c>
      <c r="Q67">
        <v>2050</v>
      </c>
      <c r="R67">
        <v>2050</v>
      </c>
      <c r="S67">
        <v>244.00848204656</v>
      </c>
      <c r="T67" t="b">
        <v>0</v>
      </c>
      <c r="U67">
        <v>2</v>
      </c>
      <c r="V67">
        <v>0</v>
      </c>
      <c r="W67">
        <v>50</v>
      </c>
      <c r="X67">
        <v>10</v>
      </c>
      <c r="Y67">
        <v>0</v>
      </c>
      <c r="Z67">
        <v>0</v>
      </c>
      <c r="AA67">
        <v>0</v>
      </c>
      <c r="AB67">
        <v>0</v>
      </c>
      <c r="AC67">
        <v>86.086020679720619</v>
      </c>
    </row>
    <row r="68">
      <c r="A68" t="s">
        <v>174</v>
      </c>
      <c r="B68">
        <v>0</v>
      </c>
      <c r="D68">
        <v>154.52000000000001</v>
      </c>
      <c r="E68">
        <v>356.04000000000002</v>
      </c>
      <c r="F68" t="s">
        <v>175</v>
      </c>
      <c r="G68" t="s">
        <v>49</v>
      </c>
      <c r="T68" t="b">
        <v>0</v>
      </c>
    </row>
    <row r="69">
      <c r="A69" t="s">
        <v>176</v>
      </c>
      <c r="B69">
        <v>0</v>
      </c>
      <c r="D69">
        <v>75.609999999999999</v>
      </c>
      <c r="E69">
        <v>130.69999999999999</v>
      </c>
      <c r="F69" t="s">
        <v>177</v>
      </c>
      <c r="G69" t="s">
        <v>49</v>
      </c>
      <c r="T69" t="b">
        <v>0</v>
      </c>
    </row>
    <row r="70">
      <c r="A70" t="s">
        <v>178</v>
      </c>
      <c r="B70">
        <v>0</v>
      </c>
      <c r="D70">
        <v>351.04000000000002</v>
      </c>
      <c r="E70">
        <v>518.05999999999995</v>
      </c>
      <c r="F70" t="s">
        <v>179</v>
      </c>
      <c r="G70" t="s">
        <v>65</v>
      </c>
      <c r="T70" t="b">
        <v>0</v>
      </c>
    </row>
    <row r="71">
      <c r="A71" t="s">
        <v>180</v>
      </c>
      <c r="B71">
        <v>0</v>
      </c>
      <c r="D71">
        <v>160.72</v>
      </c>
      <c r="E71">
        <v>343.97000000000003</v>
      </c>
      <c r="F71" t="s">
        <v>181</v>
      </c>
      <c r="G71" t="s">
        <v>78</v>
      </c>
      <c r="T71" t="b">
        <v>0</v>
      </c>
    </row>
    <row r="72">
      <c r="A72" t="s">
        <v>182</v>
      </c>
      <c r="B72">
        <v>1</v>
      </c>
      <c r="C72">
        <v>26</v>
      </c>
      <c r="D72">
        <v>38.100000000000001</v>
      </c>
      <c r="E72">
        <v>179.47</v>
      </c>
      <c r="F72" t="s">
        <v>183</v>
      </c>
      <c r="G72" t="s">
        <v>40</v>
      </c>
      <c r="H72">
        <v>150</v>
      </c>
      <c r="I72">
        <v>109.7666773292532</v>
      </c>
      <c r="J72">
        <v>140.1805930352721</v>
      </c>
      <c r="K72">
        <v>109.7666773292532</v>
      </c>
      <c r="L72">
        <v>45</v>
      </c>
      <c r="M72">
        <v>38.838993730834503</v>
      </c>
      <c r="N72">
        <v>41.308749287852862</v>
      </c>
      <c r="O72">
        <v>39.44455658561948</v>
      </c>
      <c r="P72">
        <v>0</v>
      </c>
      <c r="R72">
        <v>2030</v>
      </c>
      <c r="S72">
        <v>408.55501459768789</v>
      </c>
      <c r="T72" t="b">
        <v>1</v>
      </c>
      <c r="U72">
        <v>0.42999999999999999</v>
      </c>
      <c r="V72">
        <v>116.7300041707679</v>
      </c>
      <c r="Y72">
        <v>49.549999999999997</v>
      </c>
      <c r="Z72">
        <v>24.605999999999941</v>
      </c>
      <c r="AA72">
        <v>36.281173003781397</v>
      </c>
      <c r="AB72">
        <v>38.141173003780366</v>
      </c>
      <c r="AC72">
        <v>55.110648211446623</v>
      </c>
    </row>
    <row r="73">
      <c r="A73" t="s">
        <v>184</v>
      </c>
      <c r="B73">
        <v>0</v>
      </c>
      <c r="D73">
        <v>268.79000000000002</v>
      </c>
      <c r="E73">
        <v>361.88</v>
      </c>
      <c r="F73" t="s">
        <v>185</v>
      </c>
      <c r="G73" t="s">
        <v>78</v>
      </c>
      <c r="T73" t="b">
        <v>0</v>
      </c>
    </row>
    <row r="74">
      <c r="A74" t="s">
        <v>186</v>
      </c>
      <c r="B74">
        <v>0</v>
      </c>
      <c r="D74">
        <v>248.75</v>
      </c>
      <c r="E74">
        <v>325.82999999999998</v>
      </c>
      <c r="F74" t="s">
        <v>187</v>
      </c>
      <c r="G74" t="s">
        <v>49</v>
      </c>
      <c r="T74" t="b">
        <v>0</v>
      </c>
    </row>
    <row r="75">
      <c r="A75" t="s">
        <v>188</v>
      </c>
      <c r="B75">
        <v>0</v>
      </c>
      <c r="D75">
        <v>173.15000000000001</v>
      </c>
      <c r="E75">
        <v>463.39999999999998</v>
      </c>
      <c r="F75" t="s">
        <v>189</v>
      </c>
      <c r="G75" t="s">
        <v>89</v>
      </c>
      <c r="T75" t="b">
        <v>0</v>
      </c>
    </row>
    <row r="76">
      <c r="A76" t="s">
        <v>190</v>
      </c>
      <c r="B76">
        <v>0</v>
      </c>
      <c r="D76">
        <v>141.37</v>
      </c>
      <c r="E76">
        <v>179.47</v>
      </c>
      <c r="F76" t="s">
        <v>191</v>
      </c>
      <c r="G76" t="s">
        <v>49</v>
      </c>
      <c r="T76" t="b">
        <v>0</v>
      </c>
    </row>
    <row r="77">
      <c r="A77" t="s">
        <v>192</v>
      </c>
      <c r="B77">
        <v>0</v>
      </c>
      <c r="D77">
        <v>290.25</v>
      </c>
      <c r="E77">
        <v>463.39999999999998</v>
      </c>
      <c r="F77" t="s">
        <v>193</v>
      </c>
      <c r="G77" t="s">
        <v>65</v>
      </c>
      <c r="T77" t="b">
        <v>0</v>
      </c>
    </row>
    <row r="78">
      <c r="A78" t="s">
        <v>194</v>
      </c>
      <c r="B78">
        <v>0</v>
      </c>
      <c r="D78">
        <v>160.66</v>
      </c>
      <c r="E78">
        <v>189.69</v>
      </c>
      <c r="F78" t="s">
        <v>195</v>
      </c>
      <c r="G78" t="s">
        <v>49</v>
      </c>
      <c r="T78" t="b">
        <v>0</v>
      </c>
    </row>
    <row r="79">
      <c r="A79" t="s">
        <v>196</v>
      </c>
      <c r="B79">
        <v>0</v>
      </c>
      <c r="D79">
        <v>80.109999999999999</v>
      </c>
      <c r="E79">
        <v>166.22999999999999</v>
      </c>
      <c r="F79" t="s">
        <v>197</v>
      </c>
      <c r="G79" t="s">
        <v>37</v>
      </c>
      <c r="T79" t="b">
        <v>0</v>
      </c>
    </row>
    <row r="80">
      <c r="A80" t="s">
        <v>198</v>
      </c>
      <c r="B80">
        <v>0</v>
      </c>
      <c r="D80">
        <v>37.229999999999997</v>
      </c>
      <c r="E80">
        <v>45.280000000000001</v>
      </c>
      <c r="F80" t="s">
        <v>199</v>
      </c>
      <c r="G80" t="s">
        <v>34</v>
      </c>
      <c r="T80" t="b">
        <v>0</v>
      </c>
    </row>
    <row r="81">
      <c r="A81" t="s">
        <v>200</v>
      </c>
      <c r="B81">
        <v>0</v>
      </c>
      <c r="D81">
        <v>134.62</v>
      </c>
      <c r="E81">
        <v>447.88999999999999</v>
      </c>
      <c r="F81" t="s">
        <v>201</v>
      </c>
      <c r="G81" t="s">
        <v>46</v>
      </c>
      <c r="T81" t="b">
        <v>0</v>
      </c>
    </row>
    <row r="82">
      <c r="A82" t="s">
        <v>202</v>
      </c>
      <c r="B82">
        <v>0</v>
      </c>
      <c r="D82">
        <v>332.5</v>
      </c>
      <c r="E82">
        <v>561.50999999999999</v>
      </c>
      <c r="F82" t="s">
        <v>203</v>
      </c>
      <c r="G82" t="s">
        <v>46</v>
      </c>
      <c r="T82" t="b">
        <v>0</v>
      </c>
    </row>
    <row r="83">
      <c r="A83" t="s">
        <v>204</v>
      </c>
      <c r="B83">
        <v>0</v>
      </c>
      <c r="D83">
        <v>305.38</v>
      </c>
      <c r="E83">
        <v>369.45999999999998</v>
      </c>
      <c r="F83" t="s">
        <v>205</v>
      </c>
      <c r="G83" t="s">
        <v>49</v>
      </c>
      <c r="T83" t="b">
        <v>0</v>
      </c>
    </row>
    <row r="84">
      <c r="A84" t="s">
        <v>206</v>
      </c>
      <c r="B84">
        <v>1</v>
      </c>
      <c r="C84">
        <v>42</v>
      </c>
      <c r="D84">
        <v>12.050000000000001</v>
      </c>
      <c r="E84">
        <v>110.44</v>
      </c>
      <c r="F84" t="s">
        <v>207</v>
      </c>
      <c r="G84" t="s">
        <v>31</v>
      </c>
      <c r="H84">
        <v>150</v>
      </c>
      <c r="I84">
        <v>111.45129452507091</v>
      </c>
      <c r="J84">
        <v>151.59614872061721</v>
      </c>
      <c r="K84">
        <v>111.45129452507091</v>
      </c>
      <c r="L84">
        <v>45</v>
      </c>
      <c r="M84">
        <v>39.170461492190597</v>
      </c>
      <c r="N84">
        <v>38.897363595852113</v>
      </c>
      <c r="O84">
        <v>38.937453318270897</v>
      </c>
      <c r="P84">
        <v>0</v>
      </c>
      <c r="R84">
        <v>2035</v>
      </c>
      <c r="S84">
        <v>216.29824905216</v>
      </c>
      <c r="T84" t="b">
        <v>0</v>
      </c>
      <c r="U84">
        <v>2</v>
      </c>
      <c r="V84">
        <v>0</v>
      </c>
      <c r="Y84">
        <v>0</v>
      </c>
      <c r="Z84">
        <v>135.82000000000011</v>
      </c>
      <c r="AA84">
        <v>44.520826996218673</v>
      </c>
      <c r="AB84">
        <v>38.205127531726212</v>
      </c>
      <c r="AC84">
        <v>7.2815206797194918</v>
      </c>
    </row>
    <row r="85">
      <c r="A85" t="s">
        <v>208</v>
      </c>
      <c r="B85">
        <v>1</v>
      </c>
      <c r="C85">
        <v>38</v>
      </c>
      <c r="D85">
        <v>42.530000000000001</v>
      </c>
      <c r="E85">
        <v>127.09999999999999</v>
      </c>
      <c r="F85" t="s">
        <v>209</v>
      </c>
      <c r="G85" t="s">
        <v>98</v>
      </c>
      <c r="H85">
        <v>141.68952242732891</v>
      </c>
      <c r="I85">
        <v>110.5319772956135</v>
      </c>
      <c r="J85">
        <v>178.23198093931401</v>
      </c>
      <c r="K85">
        <v>110.5319772956135</v>
      </c>
      <c r="L85">
        <v>43.137130582981243</v>
      </c>
      <c r="M85">
        <v>36.431136757881212</v>
      </c>
      <c r="N85">
        <v>36.755450398133164</v>
      </c>
      <c r="O85">
        <v>36.692334945189593</v>
      </c>
      <c r="P85">
        <v>0</v>
      </c>
      <c r="R85">
        <v>2045</v>
      </c>
      <c r="S85">
        <v>139.44557384175599</v>
      </c>
      <c r="T85" t="b">
        <v>0</v>
      </c>
      <c r="U85">
        <v>2</v>
      </c>
      <c r="V85">
        <v>0</v>
      </c>
      <c r="Y85">
        <v>0</v>
      </c>
      <c r="Z85">
        <v>0</v>
      </c>
      <c r="AA85">
        <v>0</v>
      </c>
      <c r="AB85">
        <v>93.251821215226812</v>
      </c>
      <c r="AC85">
        <v>110.22129642289291</v>
      </c>
    </row>
    <row r="86">
      <c r="A86" t="s">
        <v>210</v>
      </c>
      <c r="B86">
        <v>0</v>
      </c>
      <c r="D86">
        <v>4</v>
      </c>
      <c r="E86">
        <v>233.52000000000001</v>
      </c>
      <c r="F86" t="s">
        <v>211</v>
      </c>
      <c r="G86" t="s">
        <v>49</v>
      </c>
      <c r="T86" t="b">
        <v>0</v>
      </c>
    </row>
    <row r="87">
      <c r="A87" t="s">
        <v>212</v>
      </c>
      <c r="B87">
        <v>1</v>
      </c>
      <c r="C87">
        <v>6</v>
      </c>
      <c r="D87">
        <v>25.02</v>
      </c>
      <c r="E87">
        <v>189.66</v>
      </c>
      <c r="F87" t="s">
        <v>213</v>
      </c>
      <c r="G87" t="s">
        <v>98</v>
      </c>
      <c r="H87">
        <v>229.91923272639289</v>
      </c>
      <c r="I87">
        <v>172.20197021042691</v>
      </c>
      <c r="J87">
        <v>173.13227088609361</v>
      </c>
      <c r="K87">
        <v>172.20197021042691</v>
      </c>
      <c r="L87">
        <v>79.084694793898763</v>
      </c>
      <c r="M87">
        <v>42.643641155405831</v>
      </c>
      <c r="N87">
        <v>42.79433371578007</v>
      </c>
      <c r="O87">
        <v>42.656283206899609</v>
      </c>
      <c r="P87">
        <v>0</v>
      </c>
      <c r="R87">
        <v>2040</v>
      </c>
      <c r="S87">
        <v>41.632004078294067</v>
      </c>
      <c r="T87" t="b">
        <v>0</v>
      </c>
      <c r="U87">
        <v>2</v>
      </c>
      <c r="V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>
      <c r="A88" t="s">
        <v>214</v>
      </c>
      <c r="B88">
        <v>1</v>
      </c>
      <c r="C88">
        <v>18</v>
      </c>
      <c r="D88">
        <v>0</v>
      </c>
      <c r="E88">
        <v>78.120000000000005</v>
      </c>
      <c r="F88" t="s">
        <v>215</v>
      </c>
      <c r="G88" t="s">
        <v>89</v>
      </c>
      <c r="H88">
        <v>150</v>
      </c>
      <c r="I88">
        <v>150</v>
      </c>
      <c r="J88">
        <v>175.60294936505741</v>
      </c>
      <c r="K88">
        <v>150</v>
      </c>
      <c r="L88">
        <v>45</v>
      </c>
      <c r="M88">
        <v>45</v>
      </c>
      <c r="N88">
        <v>32.686696400832851</v>
      </c>
      <c r="O88">
        <v>32.718704841791507</v>
      </c>
      <c r="P88">
        <v>0</v>
      </c>
      <c r="R88">
        <v>2045</v>
      </c>
      <c r="S88">
        <v>43.419734671621541</v>
      </c>
      <c r="T88" t="b">
        <v>0</v>
      </c>
      <c r="U88">
        <v>2</v>
      </c>
      <c r="V88">
        <v>0</v>
      </c>
      <c r="Y88">
        <v>0</v>
      </c>
      <c r="Z88">
        <v>0</v>
      </c>
      <c r="AA88">
        <v>0</v>
      </c>
      <c r="AB88">
        <v>26.413979320278909</v>
      </c>
      <c r="AC88">
        <v>26.413979320279381</v>
      </c>
    </row>
    <row r="89">
      <c r="A89" t="s">
        <v>216</v>
      </c>
      <c r="B89">
        <v>0</v>
      </c>
      <c r="D89">
        <v>99.730000000000004</v>
      </c>
      <c r="E89">
        <v>151.34999999999999</v>
      </c>
      <c r="F89" t="s">
        <v>217</v>
      </c>
      <c r="G89" t="s">
        <v>65</v>
      </c>
      <c r="T89" t="b">
        <v>0</v>
      </c>
    </row>
    <row r="90">
      <c r="A90" t="s">
        <v>218</v>
      </c>
      <c r="B90">
        <v>0</v>
      </c>
      <c r="D90">
        <v>40.560000000000002</v>
      </c>
      <c r="E90">
        <v>336.49000000000001</v>
      </c>
      <c r="F90" t="s">
        <v>219</v>
      </c>
      <c r="G90" t="s">
        <v>52</v>
      </c>
      <c r="T90" t="b">
        <v>0</v>
      </c>
    </row>
    <row r="91">
      <c r="A91" t="s">
        <v>220</v>
      </c>
      <c r="B91">
        <v>0</v>
      </c>
      <c r="D91">
        <v>313.26999999999998</v>
      </c>
      <c r="E91">
        <v>447.88999999999999</v>
      </c>
      <c r="F91" t="s">
        <v>221</v>
      </c>
      <c r="G91" t="s">
        <v>46</v>
      </c>
      <c r="T91" t="b">
        <v>0</v>
      </c>
    </row>
    <row r="92">
      <c r="A92" t="s">
        <v>222</v>
      </c>
      <c r="B92">
        <v>0</v>
      </c>
      <c r="D92">
        <v>140.08000000000001</v>
      </c>
      <c r="E92">
        <v>491.30000000000001</v>
      </c>
      <c r="F92" t="s">
        <v>223</v>
      </c>
      <c r="G92" t="s">
        <v>43</v>
      </c>
      <c r="T92" t="b">
        <v>0</v>
      </c>
    </row>
    <row r="93">
      <c r="A93" t="s">
        <v>224</v>
      </c>
      <c r="B93">
        <v>0</v>
      </c>
      <c r="D93">
        <v>221.62</v>
      </c>
      <c r="E93">
        <v>370.19</v>
      </c>
      <c r="F93" t="s">
        <v>225</v>
      </c>
      <c r="G93" t="s">
        <v>46</v>
      </c>
      <c r="T93" t="b">
        <v>0</v>
      </c>
    </row>
    <row r="94">
      <c r="A94" t="s">
        <v>226</v>
      </c>
      <c r="B94">
        <v>0</v>
      </c>
      <c r="D94">
        <v>201.52000000000001</v>
      </c>
      <c r="E94">
        <v>356.04000000000002</v>
      </c>
      <c r="F94" t="s">
        <v>227</v>
      </c>
      <c r="G94" t="s">
        <v>40</v>
      </c>
      <c r="T94" t="b">
        <v>0</v>
      </c>
    </row>
    <row r="95">
      <c r="A95" t="s">
        <v>228</v>
      </c>
      <c r="B95">
        <v>1</v>
      </c>
      <c r="C95">
        <v>22</v>
      </c>
      <c r="D95">
        <v>9.0099999999999998</v>
      </c>
      <c r="E95">
        <v>141.72999999999999</v>
      </c>
      <c r="F95" t="s">
        <v>229</v>
      </c>
      <c r="G95" t="s">
        <v>40</v>
      </c>
      <c r="H95">
        <v>150</v>
      </c>
      <c r="I95">
        <v>127.65951811255169</v>
      </c>
      <c r="J95">
        <v>127.4287791661389</v>
      </c>
      <c r="K95">
        <v>127.4287791661388</v>
      </c>
      <c r="L95">
        <v>45</v>
      </c>
      <c r="M95">
        <v>38.548501824233703</v>
      </c>
      <c r="N95">
        <v>38.505169832423157</v>
      </c>
      <c r="O95">
        <v>38.81205954605867</v>
      </c>
      <c r="P95">
        <v>1</v>
      </c>
      <c r="Q95">
        <v>2050</v>
      </c>
      <c r="R95">
        <v>2030</v>
      </c>
      <c r="S95">
        <v>269.33298347646559</v>
      </c>
      <c r="T95" t="b">
        <v>1</v>
      </c>
      <c r="U95">
        <v>0.42999999999999999</v>
      </c>
      <c r="V95">
        <v>76.952280993275892</v>
      </c>
      <c r="W95">
        <v>50</v>
      </c>
      <c r="X95">
        <v>10</v>
      </c>
      <c r="Y95">
        <v>19.637999999999991</v>
      </c>
      <c r="Z95">
        <v>0</v>
      </c>
      <c r="AA95">
        <v>27.609999999999999</v>
      </c>
      <c r="AB95">
        <v>28.510000000000002</v>
      </c>
      <c r="AC95">
        <v>29.59</v>
      </c>
    </row>
    <row r="96">
      <c r="A96" t="s">
        <v>230</v>
      </c>
      <c r="B96">
        <v>0</v>
      </c>
      <c r="D96">
        <v>75.019999999999996</v>
      </c>
      <c r="E96">
        <v>222.05000000000001</v>
      </c>
      <c r="F96" t="s">
        <v>231</v>
      </c>
      <c r="G96" t="s">
        <v>49</v>
      </c>
      <c r="T96" t="b">
        <v>0</v>
      </c>
    </row>
    <row r="97">
      <c r="A97" t="s">
        <v>232</v>
      </c>
      <c r="B97">
        <v>0</v>
      </c>
      <c r="D97">
        <v>164.63999999999999</v>
      </c>
      <c r="E97">
        <v>189.66</v>
      </c>
      <c r="F97" t="s">
        <v>233</v>
      </c>
      <c r="G97" t="s">
        <v>34</v>
      </c>
      <c r="T97" t="b">
        <v>0</v>
      </c>
    </row>
    <row r="98">
      <c r="A98" t="s">
        <v>234</v>
      </c>
      <c r="B98">
        <v>0</v>
      </c>
      <c r="D98">
        <v>0</v>
      </c>
      <c r="E98">
        <v>24.609999999999999</v>
      </c>
      <c r="F98" t="s">
        <v>235</v>
      </c>
      <c r="G98" t="s">
        <v>43</v>
      </c>
    </row>
    <row r="99">
      <c r="A99" t="s">
        <v>236</v>
      </c>
      <c r="B99">
        <v>1</v>
      </c>
      <c r="C99">
        <v>38</v>
      </c>
      <c r="D99">
        <v>0</v>
      </c>
      <c r="E99">
        <v>25.420000000000002</v>
      </c>
      <c r="F99" t="s">
        <v>237</v>
      </c>
      <c r="G99" t="s">
        <v>43</v>
      </c>
      <c r="H99">
        <v>229.1929265244068</v>
      </c>
      <c r="J99">
        <v>226.87292652440681</v>
      </c>
      <c r="K99">
        <v>226.87292652440681</v>
      </c>
      <c r="L99">
        <v>40.276309174969981</v>
      </c>
      <c r="N99">
        <v>32</v>
      </c>
      <c r="P99">
        <v>0</v>
      </c>
      <c r="R99">
        <v>2040</v>
      </c>
      <c r="S99">
        <v>66.686421280000005</v>
      </c>
      <c r="V99">
        <v>0</v>
      </c>
      <c r="Y99">
        <v>0</v>
      </c>
      <c r="Z99">
        <v>0</v>
      </c>
      <c r="AA99">
        <v>104.64</v>
      </c>
      <c r="AB99">
        <v>96.357372468274548</v>
      </c>
      <c r="AC99">
        <v>110.84999999999999</v>
      </c>
    </row>
    <row r="100">
      <c r="A100" t="s">
        <v>238</v>
      </c>
      <c r="B100">
        <v>0</v>
      </c>
      <c r="D100">
        <v>0</v>
      </c>
      <c r="E100">
        <v>25.73</v>
      </c>
      <c r="F100" t="s">
        <v>239</v>
      </c>
      <c r="G100" t="s">
        <v>37</v>
      </c>
    </row>
    <row r="101">
      <c r="A101" t="s">
        <v>240</v>
      </c>
      <c r="B101">
        <v>0</v>
      </c>
      <c r="D101">
        <v>0</v>
      </c>
      <c r="E101">
        <v>135.33000000000001</v>
      </c>
      <c r="F101" t="s">
        <v>241</v>
      </c>
      <c r="G101" t="s">
        <v>31</v>
      </c>
    </row>
    <row r="102">
      <c r="A102" t="s">
        <v>242</v>
      </c>
      <c r="B102">
        <v>0</v>
      </c>
      <c r="D102">
        <v>0</v>
      </c>
      <c r="E102">
        <v>135.33000000000001</v>
      </c>
      <c r="F102" t="s">
        <v>243</v>
      </c>
      <c r="G102" t="s">
        <v>52</v>
      </c>
    </row>
    <row r="103">
      <c r="A103" t="s">
        <v>244</v>
      </c>
      <c r="B103">
        <v>1</v>
      </c>
      <c r="C103">
        <v>42</v>
      </c>
      <c r="D103">
        <v>0</v>
      </c>
      <c r="E103">
        <v>25.73</v>
      </c>
      <c r="F103" t="s">
        <v>245</v>
      </c>
      <c r="G103" t="s">
        <v>43</v>
      </c>
      <c r="H103">
        <v>151.59614872061721</v>
      </c>
      <c r="J103">
        <v>149.5061487206172</v>
      </c>
      <c r="K103">
        <v>149.5061487206172</v>
      </c>
      <c r="L103">
        <v>38.897363595852113</v>
      </c>
      <c r="N103">
        <v>32</v>
      </c>
      <c r="P103">
        <v>0</v>
      </c>
      <c r="R103">
        <v>2035</v>
      </c>
      <c r="S103">
        <v>98.422962059999989</v>
      </c>
      <c r="V103">
        <v>0</v>
      </c>
      <c r="Y103">
        <v>0</v>
      </c>
      <c r="Z103">
        <v>135.82000000000011</v>
      </c>
      <c r="AA103">
        <v>44.520826996218673</v>
      </c>
      <c r="AB103">
        <v>38.205127531726212</v>
      </c>
      <c r="AC103">
        <v>7.2815206797194918</v>
      </c>
    </row>
    <row r="104">
      <c r="A104" t="s">
        <v>246</v>
      </c>
      <c r="B104">
        <v>0</v>
      </c>
      <c r="D104">
        <v>0</v>
      </c>
      <c r="E104">
        <v>161.78999999999999</v>
      </c>
      <c r="F104" t="s">
        <v>247</v>
      </c>
      <c r="G104" t="s">
        <v>46</v>
      </c>
    </row>
    <row r="105">
      <c r="A105" t="s">
        <v>248</v>
      </c>
      <c r="B105">
        <v>0</v>
      </c>
      <c r="D105">
        <v>0</v>
      </c>
      <c r="E105">
        <v>192.08000000000001</v>
      </c>
      <c r="F105" t="s">
        <v>249</v>
      </c>
      <c r="G105" t="s">
        <v>46</v>
      </c>
    </row>
    <row r="106">
      <c r="A106" t="s">
        <v>250</v>
      </c>
      <c r="B106">
        <v>0</v>
      </c>
      <c r="D106">
        <v>0</v>
      </c>
      <c r="E106">
        <v>24.609999999999999</v>
      </c>
      <c r="F106" t="s">
        <v>251</v>
      </c>
      <c r="G106" t="s">
        <v>37</v>
      </c>
    </row>
    <row r="107">
      <c r="A107" t="s">
        <v>252</v>
      </c>
      <c r="B107">
        <v>0</v>
      </c>
      <c r="D107">
        <v>0</v>
      </c>
      <c r="E107">
        <v>25.420000000000002</v>
      </c>
      <c r="F107" t="s">
        <v>253</v>
      </c>
      <c r="G107" t="s">
        <v>37</v>
      </c>
    </row>
    <row r="108">
      <c r="A108" t="s">
        <v>254</v>
      </c>
      <c r="B108">
        <v>0</v>
      </c>
      <c r="D108">
        <v>0</v>
      </c>
      <c r="E108">
        <v>192.08000000000001</v>
      </c>
      <c r="F108" t="s">
        <v>255</v>
      </c>
      <c r="G108" t="s">
        <v>46</v>
      </c>
    </row>
    <row r="109">
      <c r="A109" t="s">
        <v>256</v>
      </c>
      <c r="B109">
        <v>0</v>
      </c>
      <c r="D109">
        <v>0</v>
      </c>
      <c r="E109">
        <v>161.78999999999999</v>
      </c>
      <c r="F109" t="s">
        <v>257</v>
      </c>
      <c r="G109" t="s">
        <v>46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3654.1799999999998</v>
      </c>
      <c r="F3">
        <v>3609.6591730037808</v>
      </c>
      <c r="G3">
        <v>3571.454045472055</v>
      </c>
      <c r="H3">
        <v>3564.172524792335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1995.3599999999999</v>
      </c>
      <c r="G4">
        <v>1899.002627531725</v>
      </c>
      <c r="H4">
        <v>1788.152627531726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4571.3699999999999</v>
      </c>
      <c r="E6">
        <v>4571.3699999999999</v>
      </c>
      <c r="F6">
        <v>4571.3699999999999</v>
      </c>
      <c r="G6">
        <v>4571.3699999999999</v>
      </c>
      <c r="H6">
        <v>4571.3699999999999</v>
      </c>
    </row>
    <row r="7">
      <c r="A7">
        <v>21</v>
      </c>
      <c r="B7">
        <v>1372.72</v>
      </c>
      <c r="C7">
        <v>1372.72</v>
      </c>
      <c r="D7">
        <v>1323.1700000000001</v>
      </c>
      <c r="E7">
        <v>1298.5640000000001</v>
      </c>
      <c r="F7">
        <v>1262.282826996219</v>
      </c>
      <c r="G7">
        <v>1262.282826996219</v>
      </c>
      <c r="H7">
        <v>1262.282826996219</v>
      </c>
    </row>
    <row r="8">
      <c r="A8">
        <v>22</v>
      </c>
      <c r="B8">
        <v>2171.48</v>
      </c>
      <c r="C8">
        <v>2171.48</v>
      </c>
      <c r="D8">
        <v>2151.8420000000001</v>
      </c>
      <c r="E8">
        <v>2151.8420000000001</v>
      </c>
      <c r="F8">
        <v>2124.232</v>
      </c>
      <c r="G8">
        <v>2095.7220000000002</v>
      </c>
      <c r="H8">
        <v>2079.1780206797189</v>
      </c>
    </row>
    <row r="9">
      <c r="A9">
        <v>23</v>
      </c>
      <c r="B9">
        <v>4632.0500000000002</v>
      </c>
      <c r="C9">
        <v>4632.0500000000002</v>
      </c>
      <c r="D9">
        <v>4632.0500000000002</v>
      </c>
      <c r="E9">
        <v>4632.0500000000002</v>
      </c>
      <c r="F9">
        <v>4632.0500000000002</v>
      </c>
      <c r="G9">
        <v>4568.1299999999956</v>
      </c>
      <c r="H9">
        <v>4500.4599999999964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225</v>
      </c>
      <c r="C2">
        <v>0</v>
      </c>
      <c r="D2">
        <v>65.417173003781414</v>
      </c>
      <c r="E2">
        <v>158.41917300378131</v>
      </c>
      <c r="F2">
        <v>164.46487246827459</v>
      </c>
      <c r="G2">
        <v>197.0684793202806</v>
      </c>
    </row>
    <row r="3">
      <c r="A3">
        <v>5</v>
      </c>
      <c r="B3">
        <v>112.5</v>
      </c>
      <c r="C3">
        <v>0</v>
      </c>
      <c r="D3">
        <v>-0</v>
      </c>
      <c r="E3">
        <v>0</v>
      </c>
      <c r="F3">
        <v>26.413979320278901</v>
      </c>
      <c r="G3">
        <v>112.5</v>
      </c>
    </row>
    <row r="4">
      <c r="A4">
        <v>6</v>
      </c>
      <c r="B4">
        <v>112.5</v>
      </c>
      <c r="C4">
        <v>0</v>
      </c>
      <c r="D4">
        <v>15.978826996218601</v>
      </c>
      <c r="E4">
        <v>15.978826996218601</v>
      </c>
      <c r="F4">
        <v>109.23064821144639</v>
      </c>
      <c r="G4">
        <v>111.4306482114462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5288.0388399999993</v>
      </c>
      <c r="C2">
        <v>14008.748460000001</v>
      </c>
      <c r="D2">
        <v>17012.929499999998</v>
      </c>
      <c r="E2">
        <v>17547.225579999991</v>
      </c>
      <c r="F2">
        <v>15726.98495262544</v>
      </c>
      <c r="G2">
        <v>69583.927332625433</v>
      </c>
    </row>
    <row r="3">
      <c r="A3" t="s">
        <v>276</v>
      </c>
      <c r="B3">
        <v>453.18139999999988</v>
      </c>
      <c r="C3">
        <v>795.71295999999984</v>
      </c>
      <c r="D3">
        <v>803.20604000000026</v>
      </c>
      <c r="E3">
        <v>646.92862500001365</v>
      </c>
      <c r="F3">
        <v>437.06627999999989</v>
      </c>
      <c r="G3">
        <v>3136.095305000013</v>
      </c>
    </row>
    <row r="4">
      <c r="A4" t="s">
        <v>277</v>
      </c>
      <c r="B4">
        <v>677.88799807415353</v>
      </c>
      <c r="C4">
        <v>578.40806530396003</v>
      </c>
      <c r="D4">
        <v>1387.6676113736939</v>
      </c>
      <c r="E4">
        <v>406.61234464585692</v>
      </c>
      <c r="F4">
        <v>476.97045676515188</v>
      </c>
      <c r="G4">
        <v>3527.5464761628159</v>
      </c>
    </row>
    <row r="5">
      <c r="A5" t="s">
        <v>278</v>
      </c>
      <c r="B5">
        <v>193.68228516404389</v>
      </c>
      <c r="C5">
        <v>39.754384679399998</v>
      </c>
      <c r="D5">
        <v>267.56702785943997</v>
      </c>
      <c r="E5">
        <v>63.927724609279977</v>
      </c>
      <c r="F5">
        <v>57.531404378111972</v>
      </c>
      <c r="G5">
        <v>622.46282669027596</v>
      </c>
    </row>
    <row r="6">
      <c r="A6" t="s">
        <v>279</v>
      </c>
      <c r="B6">
        <v>0</v>
      </c>
      <c r="C6">
        <v>98.422962059999989</v>
      </c>
      <c r="D6">
        <v>66.686421280000005</v>
      </c>
      <c r="E6">
        <v>0</v>
      </c>
      <c r="F6">
        <v>0</v>
      </c>
      <c r="G6">
        <v>165.10938333999999</v>
      </c>
    </row>
    <row r="7">
      <c r="A7" t="s">
        <v>280</v>
      </c>
      <c r="B7">
        <v>4983.8968299999997</v>
      </c>
      <c r="C7">
        <v>9647.45586</v>
      </c>
      <c r="D7">
        <v>3694.8521999999998</v>
      </c>
      <c r="E7">
        <v>3954.1289999999999</v>
      </c>
      <c r="F7">
        <v>1398.8620800000001</v>
      </c>
      <c r="G7">
        <v>23679.195970000001</v>
      </c>
    </row>
    <row r="8">
      <c r="A8" t="s">
        <v>281</v>
      </c>
      <c r="B8">
        <v>0</v>
      </c>
      <c r="C8">
        <v>0</v>
      </c>
      <c r="D8">
        <v>549.47664176084675</v>
      </c>
      <c r="E8">
        <v>87.736151952622208</v>
      </c>
      <c r="F8">
        <v>249.93657259421161</v>
      </c>
      <c r="G8">
        <v>887.14936630768057</v>
      </c>
    </row>
    <row r="9">
      <c r="A9" t="s">
        <v>282</v>
      </c>
      <c r="B9">
        <v>88.125663385759992</v>
      </c>
      <c r="C9">
        <v>141.99270851072001</v>
      </c>
      <c r="D9">
        <v>288.02749327984498</v>
      </c>
      <c r="E9">
        <v>271.18378014989202</v>
      </c>
      <c r="F9">
        <v>267.56553479333201</v>
      </c>
      <c r="G9">
        <v>1056.895180119549</v>
      </c>
    </row>
    <row r="10">
      <c r="A10" t="s">
        <v>283</v>
      </c>
      <c r="B10">
        <v>25.178760967359992</v>
      </c>
      <c r="C10">
        <v>24.253647147519992</v>
      </c>
      <c r="D10">
        <v>53.167988462959983</v>
      </c>
      <c r="E10">
        <v>48.611527701859991</v>
      </c>
      <c r="F10">
        <v>44.327491522719988</v>
      </c>
      <c r="G10">
        <v>195.53941580241991</v>
      </c>
    </row>
    <row r="11">
      <c r="A11" t="s">
        <v>284</v>
      </c>
      <c r="B11">
        <v>0</v>
      </c>
      <c r="C11">
        <v>12.795014399999999</v>
      </c>
      <c r="D11">
        <v>18.367902999999998</v>
      </c>
      <c r="E11">
        <v>13.9228998</v>
      </c>
      <c r="F11">
        <v>10.55352375</v>
      </c>
      <c r="G11">
        <v>55.639340949999998</v>
      </c>
    </row>
    <row r="12">
      <c r="A12" t="s">
        <v>285</v>
      </c>
      <c r="B12">
        <v>134.62097</v>
      </c>
      <c r="C12">
        <v>362.69639999999998</v>
      </c>
      <c r="D12">
        <v>374.53500000000003</v>
      </c>
      <c r="E12">
        <v>390.54730000000012</v>
      </c>
      <c r="F12">
        <v>333.82173</v>
      </c>
      <c r="G12">
        <v>1596.2213999999999</v>
      </c>
    </row>
    <row r="13">
      <c r="A13" t="s">
        <v>286</v>
      </c>
      <c r="B13">
        <v>0</v>
      </c>
      <c r="C13">
        <v>0</v>
      </c>
      <c r="D13">
        <v>14.122674276575779</v>
      </c>
      <c r="E13">
        <v>12.98230778666202</v>
      </c>
      <c r="F13">
        <v>16.235140425177839</v>
      </c>
      <c r="G13">
        <v>43.340122488415638</v>
      </c>
    </row>
    <row r="14">
      <c r="A14" t="s">
        <v>287</v>
      </c>
      <c r="B14">
        <v>785.56055199999992</v>
      </c>
      <c r="C14">
        <v>2081.361954</v>
      </c>
      <c r="D14">
        <v>2527.7238000000002</v>
      </c>
      <c r="E14">
        <v>2606.5193899999999</v>
      </c>
      <c r="F14">
        <v>2336.295663988908</v>
      </c>
      <c r="G14">
        <v>10337.461359988911</v>
      </c>
    </row>
    <row r="15">
      <c r="A15" t="s">
        <v>288</v>
      </c>
      <c r="B15">
        <v>0</v>
      </c>
      <c r="C15">
        <v>0</v>
      </c>
      <c r="D15">
        <v>101.08516334599661</v>
      </c>
      <c r="E15">
        <v>96.689157259197927</v>
      </c>
      <c r="F15">
        <v>143.76293990806889</v>
      </c>
      <c r="G15">
        <v>341.53726051326328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45540.571320000003</v>
      </c>
      <c r="C17">
        <v>25247.446840000001</v>
      </c>
      <c r="D17">
        <v>13617.030000000001</v>
      </c>
      <c r="E17">
        <v>6957.8431999996301</v>
      </c>
      <c r="F17">
        <v>1174.5840477198381</v>
      </c>
      <c r="G17">
        <v>92537.475407719467</v>
      </c>
    </row>
    <row r="18">
      <c r="A18" t="s">
        <v>291</v>
      </c>
      <c r="B18">
        <v>-0</v>
      </c>
      <c r="C18">
        <v>-6444.1213200000011</v>
      </c>
      <c r="D18">
        <v>-10465.62398</v>
      </c>
      <c r="E18">
        <v>-13651.981154999999</v>
      </c>
      <c r="F18">
        <v>-14516.04991729394</v>
      </c>
      <c r="G18">
        <v>-45077.776372293927</v>
      </c>
    </row>
    <row r="19">
      <c r="A19" t="s">
        <v>292</v>
      </c>
      <c r="B19">
        <v>57951.883573459912</v>
      </c>
      <c r="C19">
        <v>46530.91990427467</v>
      </c>
      <c r="D19">
        <v>29990.08646831696</v>
      </c>
      <c r="E19">
        <v>19340.338581593871</v>
      </c>
      <c r="F19">
        <v>8056.5890052761879</v>
      </c>
      <c r="G19">
        <v>161869.81753292159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298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</row>
    <row r="2">
      <c r="A2" t="s">
        <v>299</v>
      </c>
      <c r="B2">
        <v>321.19999999999999</v>
      </c>
      <c r="C2">
        <v>688.95000000000005</v>
      </c>
      <c r="D2">
        <v>1089.5699999999999</v>
      </c>
      <c r="E2">
        <v>1380.47</v>
      </c>
      <c r="F2">
        <v>1952.9200000000001</v>
      </c>
    </row>
    <row r="3">
      <c r="A3" t="s">
        <v>300</v>
      </c>
      <c r="B3">
        <v>321.19999999999999</v>
      </c>
      <c r="C3">
        <v>606.45000000000005</v>
      </c>
      <c r="D3">
        <v>1080.3</v>
      </c>
      <c r="E3">
        <v>1829.3</v>
      </c>
      <c r="F3">
        <v>2574.1300000000001</v>
      </c>
    </row>
    <row r="4">
      <c r="A4" t="s">
        <v>301</v>
      </c>
      <c r="B4">
        <v>321.19999999999999</v>
      </c>
      <c r="C4">
        <v>757.79999999999995</v>
      </c>
      <c r="D4">
        <v>1718.79</v>
      </c>
      <c r="E4">
        <v>2146.0599999999999</v>
      </c>
      <c r="F4">
        <v>2763.79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2026-08-14T00:43:40Z</dcterms:created>
  <dcterms:modified xsi:type="dcterms:W3CDTF">2026-08-17T12:22:01Z</dcterms:modified>
</cp:coreProperties>
</file>